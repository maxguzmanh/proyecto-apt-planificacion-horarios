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25cbd1e05728320/Escritorio/Nueva carpeta/oo5/"/>
    </mc:Choice>
  </mc:AlternateContent>
  <xr:revisionPtr revIDLastSave="8" documentId="8_{DA59847A-9B8A-4CE2-82B7-580E348F170A}" xr6:coauthVersionLast="47" xr6:coauthVersionMax="47" xr10:uidLastSave="{83D5A195-CDCA-43F9-8662-6B065EB3FEDA}"/>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22" i="1"/>
  <c r="G20" i="1"/>
  <c r="G21" i="1"/>
  <c r="C57" i="1" l="1"/>
  <c r="D6" i="1" s="1"/>
  <c r="C46" i="1"/>
  <c r="D5" i="1" s="1"/>
  <c r="E21" i="1"/>
  <c r="H21" i="1"/>
  <c r="I21" i="1" s="1"/>
  <c r="J21" i="1"/>
  <c r="K21" i="1" s="1"/>
  <c r="F22" i="1"/>
  <c r="G22" i="1" s="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<sst xmlns="http://schemas.openxmlformats.org/spreadsheetml/2006/main" count="166" uniqueCount="98">
  <si>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</si>
  <si>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</si>
  <si>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</si>
  <si>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</si>
  <si>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</si>
  <si>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</si>
  <si>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</si>
  <si>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</si>
  <si>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</si>
  <si>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</si>
  <si>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</si>
  <si>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</si>
  <si>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</si>
  <si>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</si>
  <si>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</si>
  <si>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</si>
  <si>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</si>
  <si>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</si>
  <si>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</si>
  <si>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</si>
  <si>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</si>
  <si>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</si>
  <si>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</si>
  <si>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</si>
  <si>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</si>
  <si>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</si>
  <si>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</si>
  <si>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</si>
  <si>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</si>
  <si>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</si>
  <si>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</si>
  <si>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</si>
  <si>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</si>
  <si>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</si>
  <si>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</si>
  <si>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</si>
  <si>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</si>
  <si>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</si>
  <si>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</si>
  <si>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</si>
  <si>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</si>
  <si>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</si>
  <si>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</si>
  <si>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</si>
  <si>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</si>
  <si>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</si>
  <si>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</si>
  <si>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</si>
  <si>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</si>
  <si>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</si>
  <si>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</si>
  <si>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</si>
  <si>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</si>
  <si>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</si>
  <si>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</si>
  <si>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</si>
  <si>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</si>
  <si>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</si>
  <si>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</si>
  <si>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</si>
  <si>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</si>
  <si>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</si>
  <si>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</si>
  <si>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</si>
  <si>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</si>
  <si>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</si>
  <si>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</si>
  <si>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</si>
  <si>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</si>
  <si>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</si>
  <si>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</si>
  <si>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</si>
  <si>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</si>
  <si>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</si>
  <si>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</si>
  <si>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</si>
  <si>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</si>
  <si>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</si>
  <si>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</si>
  <si>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</si>
  <si>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</si>
  <si>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</si>
  <si>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</si>
  <si>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</si>
  <si>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</si>
  <si>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</si>
  <si>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</si>
  <si>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</si>
  <si>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</si>
  <si>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</si>
  <si>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</si>
  <si>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</si>
  <si>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</si>
  <si>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</si>
  <si>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</si>
  <si>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</si>
  <si>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Maximiliano Guzman</t>
  </si>
  <si>
    <t xml:space="preserve">Ivan tobar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</si>
</sst>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18" sqref="F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6.1</v>
      </c>
      <c r="D4" s="6">
        <f>$C$35</f>
        <v>7</v>
      </c>
      <c r="E4" s="43">
        <f>C4*C$2+D4*D$2</f>
        <v>6.3249999999999993</v>
      </c>
      <c r="G4" s="1"/>
    </row>
    <row r="5" spans="1:11" x14ac:dyDescent="0.25">
      <c r="A5" s="5">
        <v>2</v>
      </c>
      <c r="B5" s="32" t="s">
        <v>97</v>
      </c>
      <c r="C5" s="6">
        <f>EVALUACION1!$C$24</f>
        <v>6.1</v>
      </c>
      <c r="D5" s="6">
        <f>C47</f>
        <v>7</v>
      </c>
      <c r="E5" s="43">
        <f t="shared" ref="E5:E6" si="0">C5*C$2+D5*D$2</f>
        <v>6.3249999999999993</v>
      </c>
      <c r="G5" s="1"/>
    </row>
    <row r="6" spans="1:11" x14ac:dyDescent="0.25">
      <c r="A6" s="5">
        <v>3</v>
      </c>
      <c r="B6" s="32"/>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c r="F18" s="16" t="s">
        <v>95</v>
      </c>
      <c r="G18" s="16">
        <f t="shared" ref="G18" si="17">IF(F18="X",60*0.1,"")</f>
        <v>6</v>
      </c>
      <c r="H18" s="16" t="str">
        <f t="shared" si="13"/>
        <v/>
      </c>
      <c r="I18" s="16" t="str">
        <f t="shared" ref="I18" si="18">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t="s">
        <v>95</v>
      </c>
      <c r="E19" s="16">
        <f>IF(D19="X",100*0.05,"")</f>
        <v>5</v>
      </c>
      <c r="F19" s="16" t="str">
        <f t="shared" ref="F17:F22" si="19">IF($C19=L,"X","")</f>
        <v/>
      </c>
      <c r="G19" s="16" t="str">
        <f t="shared" ref="G19" si="20">IF(F19="X",60*0.05,"")</f>
        <v/>
      </c>
      <c r="H19" s="16" t="str">
        <f t="shared" si="13"/>
        <v/>
      </c>
      <c r="I19" s="16" t="str">
        <f t="shared" ref="I19" si="21">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c r="E20" s="16" t="str">
        <f>IF(D20="X",100*0.05,"")</f>
        <v/>
      </c>
      <c r="F20" s="16" t="s">
        <v>95</v>
      </c>
      <c r="G20" s="16">
        <f t="shared" si="9"/>
        <v>3</v>
      </c>
      <c r="H20" s="16" t="str">
        <f t="shared" si="13"/>
        <v/>
      </c>
      <c r="I20" s="16" t="str">
        <f t="shared" si="10"/>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c r="E21" s="16" t="str">
        <f t="shared" si="8"/>
        <v/>
      </c>
      <c r="F21" s="16" t="s">
        <v>95</v>
      </c>
      <c r="G21" s="16">
        <f t="shared" si="9"/>
        <v>3</v>
      </c>
      <c r="H21" s="16" t="str">
        <f t="shared" si="13"/>
        <v/>
      </c>
      <c r="I21" s="16" t="str">
        <f t="shared" si="10"/>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
        <v>95</v>
      </c>
      <c r="E22" s="16">
        <f>IF(D22="X",100*0.1,"")</f>
        <v>10</v>
      </c>
      <c r="F22" s="16" t="str">
        <f t="shared" si="19"/>
        <v/>
      </c>
      <c r="G22" s="16" t="str">
        <f>IF(F22="X",60*0.1,"")</f>
        <v/>
      </c>
      <c r="H22" s="16" t="str">
        <f t="shared" si="13"/>
        <v/>
      </c>
      <c r="I22" s="16" t="str">
        <f>IF(H22="X",30*0.1,"")</f>
        <v/>
      </c>
      <c r="J22" s="16" t="str">
        <f t="shared" si="15"/>
        <v/>
      </c>
      <c r="K22" s="16" t="str">
        <f t="shared" si="16"/>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Maximiliano Guzman</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 xml:space="preserve">Ivan tobar </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28">IF($C43=CL,"X","")</f>
        <v>X</v>
      </c>
      <c r="E43" s="16">
        <f>IF(D43="X",100*0.1,"")</f>
        <v>10</v>
      </c>
      <c r="F43" s="16" t="str">
        <f t="shared" ref="F43:F44"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28"/>
        <v>X</v>
      </c>
      <c r="E44" s="16">
        <f>IF(D44="X",100*0.1,"")</f>
        <v>10</v>
      </c>
      <c r="F44" s="16" t="str">
        <f t="shared" si="29"/>
        <v/>
      </c>
      <c r="G44" s="16" t="str">
        <f>IF(F44="X",60*0.1,"")</f>
        <v/>
      </c>
      <c r="H44" s="16" t="str">
        <f t="shared" si="30"/>
        <v/>
      </c>
      <c r="I44" s="16" t="str">
        <f>IF(H44="X",30*0.1,"")</f>
        <v/>
      </c>
      <c r="J44" s="16" t="str">
        <f t="shared" si="31"/>
        <v/>
      </c>
      <c r="K44" s="16" t="str">
        <f t="shared" si="32"/>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6">IF($C54=CL,"X","")</f>
        <v>X</v>
      </c>
      <c r="E54" s="16">
        <f>IF(D54="X",100*0.1,"")</f>
        <v>10</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6"/>
        <v>X</v>
      </c>
      <c r="E55" s="16">
        <f>IF(D55="X",100*0.1,"")</f>
        <v>10</v>
      </c>
      <c r="F55" s="16" t="str">
        <f t="shared" si="37"/>
        <v/>
      </c>
      <c r="G55" s="16" t="str">
        <f>IF(F55="X",60*0.1,"")</f>
        <v/>
      </c>
      <c r="H55" s="16" t="str">
        <f t="shared" si="38"/>
        <v/>
      </c>
      <c r="I55" s="16" t="str">
        <f>IF(H55="X",30*0.1,"")</f>
        <v/>
      </c>
      <c r="J55" s="16" t="str">
        <f t="shared" si="39"/>
        <v/>
      </c>
      <c r="K55" s="16" t="str">
        <f t="shared" si="40"/>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2026-09-28T14:57:48Z</dcterms:modified>
  <cp:category/>
  <cp:contentStatus/>
</cp:coreProperties>
</file>