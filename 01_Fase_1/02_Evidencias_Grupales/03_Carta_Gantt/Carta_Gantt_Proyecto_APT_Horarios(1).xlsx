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ccd6b728a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ta Gantt" sheetId="1" r:id="R1ebf2d301f9c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color rgb="FF843C0C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4472C4"/>
      </x:patternFill>
    </x:fill>
    <x:fill>
      <x:patternFill patternType="solid">
        <x:fgColor rgb="FFF7F9FC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horizontal="center"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2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5" fillId="6" borderId="12" xfId="0" applyNumberFormat="1" applyFont="1" applyFill="1" applyBorder="1" applyAlignment="1">
      <x:alignment horizontal="center" vertical="center"/>
    </x:xf>
    <x:xf numFmtId="0" fontId="5" fillId="6" borderId="13" xfId="0" applyNumberFormat="1" applyFont="1" applyFill="1" applyBorder="1" applyAlignment="1">
      <x:alignment horizontal="center" vertical="center"/>
    </x:xf>
    <x:xf numFmtId="0" fontId="6" fillId="7" borderId="14" xfId="0" applyNumberFormat="1" applyFont="1" applyFill="1" applyBorder="1" applyAlignment="1">
      <x:alignment horizontal="center" vertical="center" wrapText="1"/>
    </x:xf>
    <x:xf numFmtId="0" fontId="6" fillId="7" borderId="15" xfId="0" applyNumberFormat="1" applyFont="1" applyFill="1" applyBorder="1" applyAlignment="1">
      <x:alignment horizontal="center" vertical="center" wrapText="1"/>
    </x:xf>
    <x:xf numFmtId="0" fontId="6" fillId="7" borderId="16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8" borderId="14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horizontal="center" wrapText="1"/>
    </x:xf>
    <x:xf numFmtId="0" fontId="0" fillId="8" borderId="17" xfId="0" applyNumberFormat="1" applyFont="1" applyFill="1" applyBorder="1" applyAlignment="1">
      <x:alignment wrapText="1"/>
    </x:xf>
    <x:xf numFmtId="0" fontId="0" fillId="8" borderId="18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70AD47"/>
      </x:font>
      <x:fill>
        <x:patternFill patternType="solid">
          <x:bgColor rgb="FF70AD47"/>
        </x:patternFill>
      </x:fill>
    </x:dxf>
    <x:dxf>
      <x:font>
        <x:color rgb="FFFFC000"/>
      </x:font>
      <x:fill>
        <x:patternFill patternType="solid">
          <x:bgColor rgb="FFFFC000"/>
        </x:patternFill>
      </x:fill>
    </x:dxf>
    <x:dxf>
      <x:font>
        <x:color rgb="FFED7D31"/>
      </x:font>
      <x:fill>
        <x:patternFill patternType="solid">
          <x:bgColor rgb="FFED7D3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ae8be7efa4330" /><Relationship Type="http://schemas.openxmlformats.org/officeDocument/2006/relationships/theme" Target="/xl/theme/theme1.xml" Id="R643ca83dca7b4e1b" /><Relationship Type="http://schemas.openxmlformats.org/officeDocument/2006/relationships/sharedStrings" Target="/xl/sharedStrings.xml" Id="R1fff3eac9030492f" /><Relationship Type="http://schemas.openxmlformats.org/officeDocument/2006/relationships/worksheet" Target="/xl/worksheets/sheet1.xml" Id="R1ebf2d301f9c42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" hidden="0" customWidth="1"/>
    <x:col min="3" max="3" width="65" hidden="0" customWidth="1"/>
    <x:col min="4" max="4" width="14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</x:cols>
  <x:sheetData>
    <x:row r="1" ht="28" customHeight="1">
      <x:c r="A1" s="5" t="str">
        <x:v>Carta Gantt – Proyecto APT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2" customHeight="1">
      <x:c r="A2" s="13" t="str">
        <x:v>Sistema Web de Planificación y Validación de Horarios Académicos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3" ht="22" customHeight="1">
      <x:c r="A3" s="68"/>
      <x:c r="B3" s="69"/>
      <x:c r="C3" s="69"/>
      <x:c r="D3" s="69"/>
      <x:c r="E3" s="70" t="str">
        <x:v>Fase 1</x:v>
      </x:c>
      <x:c r="F3" s="70"/>
      <x:c r="G3" s="70"/>
      <x:c r="H3" s="70"/>
      <x:c r="I3" s="70"/>
      <x:c r="J3" s="71" t="str">
        <x:v>Fase 2</x:v>
      </x:c>
      <x:c r="K3" s="71"/>
      <x:c r="L3" s="71"/>
      <x:c r="M3" s="71"/>
      <x:c r="N3" s="71"/>
      <x:c r="O3" s="71"/>
      <x:c r="P3" s="71"/>
      <x:c r="Q3" s="71"/>
      <x:c r="R3" s="71"/>
      <x:c r="S3" s="71"/>
      <x:c r="T3" s="72" t="str">
        <x:v>Fase 3</x:v>
      </x:c>
      <x:c r="U3" s="72"/>
      <x:c r="V3" s="73"/>
    </x:row>
    <x:row r="4" ht="22" customHeight="1">
      <x:c r="A4" s="74" t="str">
        <x:v>Actividad</x:v>
      </x:c>
      <x:c r="B4" s="75" t="str">
        <x:v>Inicio</x:v>
      </x:c>
      <x:c r="C4" s="75" t="str">
        <x:v>Fin</x:v>
      </x:c>
      <x:c r="D4" s="75" t="str">
        <x:v>Responsable</x:v>
      </x:c>
      <x:c r="E4" s="75" t="str">
        <x:v>S1</x:v>
      </x:c>
      <x:c r="F4" s="75" t="str">
        <x:v>S2</x:v>
      </x:c>
      <x:c r="G4" s="75" t="str">
        <x:v>S3</x:v>
      </x:c>
      <x:c r="H4" s="75" t="str">
        <x:v>S4</x:v>
      </x:c>
      <x:c r="I4" s="75" t="str">
        <x:v>S5</x:v>
      </x:c>
      <x:c r="J4" s="75" t="str">
        <x:v>S6</x:v>
      </x:c>
      <x:c r="K4" s="75" t="str">
        <x:v>S7</x:v>
      </x:c>
      <x:c r="L4" s="75" t="str">
        <x:v>S8</x:v>
      </x:c>
      <x:c r="M4" s="75" t="str">
        <x:v>S9</x:v>
      </x:c>
      <x:c r="N4" s="75" t="str">
        <x:v>S10</x:v>
      </x:c>
      <x:c r="O4" s="75" t="str">
        <x:v>S11</x:v>
      </x:c>
      <x:c r="P4" s="75" t="str">
        <x:v>S12</x:v>
      </x:c>
      <x:c r="Q4" s="75" t="str">
        <x:v>S13</x:v>
      </x:c>
      <x:c r="R4" s="75" t="str">
        <x:v>S14</x:v>
      </x:c>
      <x:c r="S4" s="75" t="str">
        <x:v>S15</x:v>
      </x:c>
      <x:c r="T4" s="75" t="str">
        <x:v>S16</x:v>
      </x:c>
      <x:c r="U4" s="75" t="str">
        <x:v>S17</x:v>
      </x:c>
      <x:c r="V4" s="76" t="str">
        <x:v>S18</x:v>
      </x:c>
    </x:row>
    <x:row r="5" ht="24" customHeight="1">
      <x:c r="A5" s="77" t="str">
        <x:v>Definición y levantamiento</x:v>
      </x:c>
      <x:c r="B5" s="78" t="n">
        <x:v>1</x:v>
      </x:c>
      <x:c r="C5" s="78" t="n">
        <x:v>3</x:v>
      </x:c>
      <x:c r="D5" s="78" t="str">
        <x:v>Equipo</x:v>
      </x:c>
      <x:c r="E5" s="79" t="str">
        <x:f>IF(AND(COLUMN()-4&gt;=$B5,COLUMN()-4&lt;=$C5),"■","")</x:f>
        <x:v>■</x:v>
      </x:c>
      <x:c r="F5" s="79" t="str">
        <x:f>IF(AND(COLUMN()-4&gt;=$B5,COLUMN()-4&lt;=$C5),"■","")</x:f>
        <x:v>■</x:v>
      </x:c>
      <x:c r="G5" s="79" t="str">
        <x:f>IF(AND(COLUMN()-4&gt;=$B5,COLUMN()-4&lt;=$C5),"■","")</x:f>
        <x:v>■</x:v>
      </x:c>
      <x:c r="H5" s="79" t="str">
        <x:f>IF(AND(COLUMN()-4&gt;=$B5,COLUMN()-4&lt;=$C5),"■","")</x:f>
      </x:c>
      <x:c r="I5" s="79" t="str">
        <x:f>IF(AND(COLUMN()-4&gt;=$B5,COLUMN()-4&lt;=$C5),"■","")</x:f>
      </x:c>
      <x:c r="J5" s="79" t="str">
        <x:f>IF(AND(COLUMN()-4&gt;=$B5,COLUMN()-4&lt;=$C5),"■","")</x:f>
      </x:c>
      <x:c r="K5" s="79" t="str">
        <x:f>IF(AND(COLUMN()-4&gt;=$B5,COLUMN()-4&lt;=$C5),"■","")</x:f>
      </x:c>
      <x:c r="L5" s="79" t="str">
        <x:f>IF(AND(COLUMN()-4&gt;=$B5,COLUMN()-4&lt;=$C5),"■","")</x:f>
      </x:c>
      <x:c r="M5" s="79" t="str">
        <x:f>IF(AND(COLUMN()-4&gt;=$B5,COLUMN()-4&lt;=$C5),"■","")</x:f>
      </x:c>
      <x:c r="N5" s="79" t="str">
        <x:f>IF(AND(COLUMN()-4&gt;=$B5,COLUMN()-4&lt;=$C5),"■","")</x:f>
      </x:c>
      <x:c r="O5" s="79" t="str">
        <x:f>IF(AND(COLUMN()-4&gt;=$B5,COLUMN()-4&lt;=$C5),"■","")</x:f>
      </x:c>
      <x:c r="P5" s="79" t="str">
        <x:f>IF(AND(COLUMN()-4&gt;=$B5,COLUMN()-4&lt;=$C5),"■","")</x:f>
      </x:c>
      <x:c r="Q5" s="79" t="str">
        <x:f>IF(AND(COLUMN()-4&gt;=$B5,COLUMN()-4&lt;=$C5),"■","")</x:f>
      </x:c>
      <x:c r="R5" s="79" t="str">
        <x:f>IF(AND(COLUMN()-4&gt;=$B5,COLUMN()-4&lt;=$C5),"■","")</x:f>
      </x:c>
      <x:c r="S5" s="79" t="str">
        <x:f>IF(AND(COLUMN()-4&gt;=$B5,COLUMN()-4&lt;=$C5),"■","")</x:f>
      </x:c>
      <x:c r="T5" s="79" t="str">
        <x:f>IF(AND(COLUMN()-4&gt;=$B5,COLUMN()-4&lt;=$C5),"■","")</x:f>
      </x:c>
      <x:c r="U5" s="79" t="str">
        <x:f>IF(AND(COLUMN()-4&gt;=$B5,COLUMN()-4&lt;=$C5),"■","")</x:f>
      </x:c>
      <x:c r="V5" s="80" t="str">
        <x:f>IF(AND(COLUMN()-4&gt;=$B5,COLUMN()-4&lt;=$C5),"■","")</x:f>
      </x:c>
    </x:row>
    <x:row r="6" ht="24" customHeight="1">
      <x:c r="A6" s="81" t="str">
        <x:v>Análisis AS-IS / TO-BE</x:v>
      </x:c>
      <x:c r="B6" s="82" t="n">
        <x:v>2</x:v>
      </x:c>
      <x:c r="C6" s="82" t="n">
        <x:v>4</x:v>
      </x:c>
      <x:c r="D6" s="82" t="str">
        <x:v>Equipo</x:v>
      </x:c>
      <x:c r="E6" s="79" t="str">
        <x:f>IF(AND(COLUMN()-4&gt;=$B6,COLUMN()-4&lt;=$C6),"■","")</x:f>
      </x:c>
      <x:c r="F6" s="79" t="str">
        <x:f>IF(AND(COLUMN()-4&gt;=$B6,COLUMN()-4&lt;=$C6),"■","")</x:f>
        <x:v>■</x:v>
      </x:c>
      <x:c r="G6" s="79" t="str">
        <x:f>IF(AND(COLUMN()-4&gt;=$B6,COLUMN()-4&lt;=$C6),"■","")</x:f>
        <x:v>■</x:v>
      </x:c>
      <x:c r="H6" s="79" t="str">
        <x:f>IF(AND(COLUMN()-4&gt;=$B6,COLUMN()-4&lt;=$C6),"■","")</x:f>
        <x:v>■</x:v>
      </x:c>
      <x:c r="I6" s="79" t="str">
        <x:f>IF(AND(COLUMN()-4&gt;=$B6,COLUMN()-4&lt;=$C6),"■","")</x:f>
      </x:c>
      <x:c r="J6" s="79" t="str">
        <x:f>IF(AND(COLUMN()-4&gt;=$B6,COLUMN()-4&lt;=$C6),"■","")</x:f>
      </x:c>
      <x:c r="K6" s="79" t="str">
        <x:f>IF(AND(COLUMN()-4&gt;=$B6,COLUMN()-4&lt;=$C6),"■","")</x:f>
      </x:c>
      <x:c r="L6" s="79" t="str">
        <x:f>IF(AND(COLUMN()-4&gt;=$B6,COLUMN()-4&lt;=$C6),"■","")</x:f>
      </x:c>
      <x:c r="M6" s="79" t="str">
        <x:f>IF(AND(COLUMN()-4&gt;=$B6,COLUMN()-4&lt;=$C6),"■","")</x:f>
      </x:c>
      <x:c r="N6" s="79" t="str">
        <x:f>IF(AND(COLUMN()-4&gt;=$B6,COLUMN()-4&lt;=$C6),"■","")</x:f>
      </x:c>
      <x:c r="O6" s="79" t="str">
        <x:f>IF(AND(COLUMN()-4&gt;=$B6,COLUMN()-4&lt;=$C6),"■","")</x:f>
      </x:c>
      <x:c r="P6" s="79" t="str">
        <x:f>IF(AND(COLUMN()-4&gt;=$B6,COLUMN()-4&lt;=$C6),"■","")</x:f>
      </x:c>
      <x:c r="Q6" s="79" t="str">
        <x:f>IF(AND(COLUMN()-4&gt;=$B6,COLUMN()-4&lt;=$C6),"■","")</x:f>
      </x:c>
      <x:c r="R6" s="79" t="str">
        <x:f>IF(AND(COLUMN()-4&gt;=$B6,COLUMN()-4&lt;=$C6),"■","")</x:f>
      </x:c>
      <x:c r="S6" s="79" t="str">
        <x:f>IF(AND(COLUMN()-4&gt;=$B6,COLUMN()-4&lt;=$C6),"■","")</x:f>
      </x:c>
      <x:c r="T6" s="79" t="str">
        <x:f>IF(AND(COLUMN()-4&gt;=$B6,COLUMN()-4&lt;=$C6),"■","")</x:f>
      </x:c>
      <x:c r="U6" s="79" t="str">
        <x:f>IF(AND(COLUMN()-4&gt;=$B6,COLUMN()-4&lt;=$C6),"■","")</x:f>
      </x:c>
      <x:c r="V6" s="80" t="str">
        <x:f>IF(AND(COLUMN()-4&gt;=$B6,COLUMN()-4&lt;=$C6),"■","")</x:f>
      </x:c>
    </x:row>
    <x:row r="7" ht="24" customHeight="1">
      <x:c r="A7" s="77" t="str">
        <x:v>Diseño de arquitectura y base de datos</x:v>
      </x:c>
      <x:c r="B7" s="78" t="n">
        <x:v>3</x:v>
      </x:c>
      <x:c r="C7" s="78" t="n">
        <x:v>5</x:v>
      </x:c>
      <x:c r="D7" s="78" t="str">
        <x:v>Equipo</x:v>
      </x:c>
      <x:c r="E7" s="79" t="str">
        <x:f>IF(AND(COLUMN()-4&gt;=$B7,COLUMN()-4&lt;=$C7),"■","")</x:f>
      </x:c>
      <x:c r="F7" s="79" t="str">
        <x:f>IF(AND(COLUMN()-4&gt;=$B7,COLUMN()-4&lt;=$C7),"■","")</x:f>
      </x:c>
      <x:c r="G7" s="79" t="str">
        <x:f>IF(AND(COLUMN()-4&gt;=$B7,COLUMN()-4&lt;=$C7),"■","")</x:f>
        <x:v>■</x:v>
      </x:c>
      <x:c r="H7" s="79" t="str">
        <x:f>IF(AND(COLUMN()-4&gt;=$B7,COLUMN()-4&lt;=$C7),"■","")</x:f>
        <x:v>■</x:v>
      </x:c>
      <x:c r="I7" s="79" t="str">
        <x:f>IF(AND(COLUMN()-4&gt;=$B7,COLUMN()-4&lt;=$C7),"■","")</x:f>
        <x:v>■</x:v>
      </x:c>
      <x:c r="J7" s="79" t="str">
        <x:f>IF(AND(COLUMN()-4&gt;=$B7,COLUMN()-4&lt;=$C7),"■","")</x:f>
      </x:c>
      <x:c r="K7" s="79" t="str">
        <x:f>IF(AND(COLUMN()-4&gt;=$B7,COLUMN()-4&lt;=$C7),"■","")</x:f>
      </x:c>
      <x:c r="L7" s="79" t="str">
        <x:f>IF(AND(COLUMN()-4&gt;=$B7,COLUMN()-4&lt;=$C7),"■","")</x:f>
      </x:c>
      <x:c r="M7" s="79" t="str">
        <x:f>IF(AND(COLUMN()-4&gt;=$B7,COLUMN()-4&lt;=$C7),"■","")</x:f>
      </x:c>
      <x:c r="N7" s="79" t="str">
        <x:f>IF(AND(COLUMN()-4&gt;=$B7,COLUMN()-4&lt;=$C7),"■","")</x:f>
      </x:c>
      <x:c r="O7" s="79" t="str">
        <x:f>IF(AND(COLUMN()-4&gt;=$B7,COLUMN()-4&lt;=$C7),"■","")</x:f>
      </x:c>
      <x:c r="P7" s="79" t="str">
        <x:f>IF(AND(COLUMN()-4&gt;=$B7,COLUMN()-4&lt;=$C7),"■","")</x:f>
      </x:c>
      <x:c r="Q7" s="79" t="str">
        <x:f>IF(AND(COLUMN()-4&gt;=$B7,COLUMN()-4&lt;=$C7),"■","")</x:f>
      </x:c>
      <x:c r="R7" s="79" t="str">
        <x:f>IF(AND(COLUMN()-4&gt;=$B7,COLUMN()-4&lt;=$C7),"■","")</x:f>
      </x:c>
      <x:c r="S7" s="79" t="str">
        <x:f>IF(AND(COLUMN()-4&gt;=$B7,COLUMN()-4&lt;=$C7),"■","")</x:f>
      </x:c>
      <x:c r="T7" s="79" t="str">
        <x:f>IF(AND(COLUMN()-4&gt;=$B7,COLUMN()-4&lt;=$C7),"■","")</x:f>
      </x:c>
      <x:c r="U7" s="79" t="str">
        <x:f>IF(AND(COLUMN()-4&gt;=$B7,COLUMN()-4&lt;=$C7),"■","")</x:f>
      </x:c>
      <x:c r="V7" s="80" t="str">
        <x:f>IF(AND(COLUMN()-4&gt;=$B7,COLUMN()-4&lt;=$C7),"■","")</x:f>
      </x:c>
    </x:row>
    <x:row r="8" ht="24" customHeight="1">
      <x:c r="A8" s="81" t="str">
        <x:v>Diseño de prototipos</x:v>
      </x:c>
      <x:c r="B8" s="82" t="n">
        <x:v>4</x:v>
      </x:c>
      <x:c r="C8" s="82" t="n">
        <x:v>5</x:v>
      </x:c>
      <x:c r="D8" s="82" t="str">
        <x:v>Equipo</x:v>
      </x:c>
      <x:c r="E8" s="79" t="str">
        <x:f>IF(AND(COLUMN()-4&gt;=$B8,COLUMN()-4&lt;=$C8),"■","")</x:f>
      </x:c>
      <x:c r="F8" s="79" t="str">
        <x:f>IF(AND(COLUMN()-4&gt;=$B8,COLUMN()-4&lt;=$C8),"■","")</x:f>
      </x:c>
      <x:c r="G8" s="79" t="str">
        <x:f>IF(AND(COLUMN()-4&gt;=$B8,COLUMN()-4&lt;=$C8),"■","")</x:f>
      </x:c>
      <x:c r="H8" s="79" t="str">
        <x:f>IF(AND(COLUMN()-4&gt;=$B8,COLUMN()-4&lt;=$C8),"■","")</x:f>
        <x:v>■</x:v>
      </x:c>
      <x:c r="I8" s="79" t="str">
        <x:f>IF(AND(COLUMN()-4&gt;=$B8,COLUMN()-4&lt;=$C8),"■","")</x:f>
        <x:v>■</x:v>
      </x:c>
      <x:c r="J8" s="79" t="str">
        <x:f>IF(AND(COLUMN()-4&gt;=$B8,COLUMN()-4&lt;=$C8),"■","")</x:f>
      </x:c>
      <x:c r="K8" s="79" t="str">
        <x:f>IF(AND(COLUMN()-4&gt;=$B8,COLUMN()-4&lt;=$C8),"■","")</x:f>
      </x:c>
      <x:c r="L8" s="79" t="str">
        <x:f>IF(AND(COLUMN()-4&gt;=$B8,COLUMN()-4&lt;=$C8),"■","")</x:f>
      </x:c>
      <x:c r="M8" s="79" t="str">
        <x:f>IF(AND(COLUMN()-4&gt;=$B8,COLUMN()-4&lt;=$C8),"■","")</x:f>
      </x:c>
      <x:c r="N8" s="79" t="str">
        <x:f>IF(AND(COLUMN()-4&gt;=$B8,COLUMN()-4&lt;=$C8),"■","")</x:f>
      </x:c>
      <x:c r="O8" s="79" t="str">
        <x:f>IF(AND(COLUMN()-4&gt;=$B8,COLUMN()-4&lt;=$C8),"■","")</x:f>
      </x:c>
      <x:c r="P8" s="79" t="str">
        <x:f>IF(AND(COLUMN()-4&gt;=$B8,COLUMN()-4&lt;=$C8),"■","")</x:f>
      </x:c>
      <x:c r="Q8" s="79" t="str">
        <x:f>IF(AND(COLUMN()-4&gt;=$B8,COLUMN()-4&lt;=$C8),"■","")</x:f>
      </x:c>
      <x:c r="R8" s="79" t="str">
        <x:f>IF(AND(COLUMN()-4&gt;=$B8,COLUMN()-4&lt;=$C8),"■","")</x:f>
      </x:c>
      <x:c r="S8" s="79" t="str">
        <x:f>IF(AND(COLUMN()-4&gt;=$B8,COLUMN()-4&lt;=$C8),"■","")</x:f>
      </x:c>
      <x:c r="T8" s="79" t="str">
        <x:f>IF(AND(COLUMN()-4&gt;=$B8,COLUMN()-4&lt;=$C8),"■","")</x:f>
      </x:c>
      <x:c r="U8" s="79" t="str">
        <x:f>IF(AND(COLUMN()-4&gt;=$B8,COLUMN()-4&lt;=$C8),"■","")</x:f>
      </x:c>
      <x:c r="V8" s="80" t="str">
        <x:f>IF(AND(COLUMN()-4&gt;=$B8,COLUMN()-4&lt;=$C8),"■","")</x:f>
      </x:c>
    </x:row>
    <x:row r="9" ht="24" customHeight="1">
      <x:c r="A9" s="77" t="str">
        <x:v>Configuración del proyecto</x:v>
      </x:c>
      <x:c r="B9" s="78" t="n">
        <x:v>5</x:v>
      </x:c>
      <x:c r="C9" s="78" t="n">
        <x:v>6</x:v>
      </x:c>
      <x:c r="D9" s="78" t="str">
        <x:v>Equipo</x:v>
      </x:c>
      <x:c r="E9" s="79" t="str">
        <x:f>IF(AND(COLUMN()-4&gt;=$B9,COLUMN()-4&lt;=$C9),"■","")</x:f>
      </x:c>
      <x:c r="F9" s="79" t="str">
        <x:f>IF(AND(COLUMN()-4&gt;=$B9,COLUMN()-4&lt;=$C9),"■","")</x:f>
      </x:c>
      <x:c r="G9" s="79" t="str">
        <x:f>IF(AND(COLUMN()-4&gt;=$B9,COLUMN()-4&lt;=$C9),"■","")</x:f>
      </x:c>
      <x:c r="H9" s="79" t="str">
        <x:f>IF(AND(COLUMN()-4&gt;=$B9,COLUMN()-4&lt;=$C9),"■","")</x:f>
      </x:c>
      <x:c r="I9" s="79" t="str">
        <x:f>IF(AND(COLUMN()-4&gt;=$B9,COLUMN()-4&lt;=$C9),"■","")</x:f>
        <x:v>■</x:v>
      </x:c>
      <x:c r="J9" s="79" t="str">
        <x:f>IF(AND(COLUMN()-4&gt;=$B9,COLUMN()-4&lt;=$C9),"■","")</x:f>
        <x:v>■</x:v>
      </x:c>
      <x:c r="K9" s="79" t="str">
        <x:f>IF(AND(COLUMN()-4&gt;=$B9,COLUMN()-4&lt;=$C9),"■","")</x:f>
      </x:c>
      <x:c r="L9" s="79" t="str">
        <x:f>IF(AND(COLUMN()-4&gt;=$B9,COLUMN()-4&lt;=$C9),"■","")</x:f>
      </x:c>
      <x:c r="M9" s="79" t="str">
        <x:f>IF(AND(COLUMN()-4&gt;=$B9,COLUMN()-4&lt;=$C9),"■","")</x:f>
      </x:c>
      <x:c r="N9" s="79" t="str">
        <x:f>IF(AND(COLUMN()-4&gt;=$B9,COLUMN()-4&lt;=$C9),"■","")</x:f>
      </x:c>
      <x:c r="O9" s="79" t="str">
        <x:f>IF(AND(COLUMN()-4&gt;=$B9,COLUMN()-4&lt;=$C9),"■","")</x:f>
      </x:c>
      <x:c r="P9" s="79" t="str">
        <x:f>IF(AND(COLUMN()-4&gt;=$B9,COLUMN()-4&lt;=$C9),"■","")</x:f>
      </x:c>
      <x:c r="Q9" s="79" t="str">
        <x:f>IF(AND(COLUMN()-4&gt;=$B9,COLUMN()-4&lt;=$C9),"■","")</x:f>
      </x:c>
      <x:c r="R9" s="79" t="str">
        <x:f>IF(AND(COLUMN()-4&gt;=$B9,COLUMN()-4&lt;=$C9),"■","")</x:f>
      </x:c>
      <x:c r="S9" s="79" t="str">
        <x:f>IF(AND(COLUMN()-4&gt;=$B9,COLUMN()-4&lt;=$C9),"■","")</x:f>
      </x:c>
      <x:c r="T9" s="79" t="str">
        <x:f>IF(AND(COLUMN()-4&gt;=$B9,COLUMN()-4&lt;=$C9),"■","")</x:f>
      </x:c>
      <x:c r="U9" s="79" t="str">
        <x:f>IF(AND(COLUMN()-4&gt;=$B9,COLUMN()-4&lt;=$C9),"■","")</x:f>
      </x:c>
      <x:c r="V9" s="80" t="str">
        <x:f>IF(AND(COLUMN()-4&gt;=$B9,COLUMN()-4&lt;=$C9),"■","")</x:f>
      </x:c>
    </x:row>
    <x:row r="10" ht="24" customHeight="1">
      <x:c r="A10" s="81" t="str">
        <x:v>Desarrollo estructura institucional</x:v>
      </x:c>
      <x:c r="B10" s="82" t="n">
        <x:v>6</x:v>
      </x:c>
      <x:c r="C10" s="82" t="n">
        <x:v>7</x:v>
      </x:c>
      <x:c r="D10" s="82" t="str">
        <x:v>Equipo</x:v>
      </x:c>
      <x:c r="E10" s="79" t="str">
        <x:f>IF(AND(COLUMN()-4&gt;=$B10,COLUMN()-4&lt;=$C10),"■","")</x:f>
      </x:c>
      <x:c r="F10" s="79" t="str">
        <x:f>IF(AND(COLUMN()-4&gt;=$B10,COLUMN()-4&lt;=$C10),"■","")</x:f>
      </x:c>
      <x:c r="G10" s="79" t="str">
        <x:f>IF(AND(COLUMN()-4&gt;=$B10,COLUMN()-4&lt;=$C10),"■","")</x:f>
      </x:c>
      <x:c r="H10" s="79" t="str">
        <x:f>IF(AND(COLUMN()-4&gt;=$B10,COLUMN()-4&lt;=$C10),"■","")</x:f>
      </x:c>
      <x:c r="I10" s="79" t="str">
        <x:f>IF(AND(COLUMN()-4&gt;=$B10,COLUMN()-4&lt;=$C10),"■","")</x:f>
      </x:c>
      <x:c r="J10" s="79" t="str">
        <x:f>IF(AND(COLUMN()-4&gt;=$B10,COLUMN()-4&lt;=$C10),"■","")</x:f>
        <x:v>■</x:v>
      </x:c>
      <x:c r="K10" s="79" t="str">
        <x:f>IF(AND(COLUMN()-4&gt;=$B10,COLUMN()-4&lt;=$C10),"■","")</x:f>
        <x:v>■</x:v>
      </x:c>
      <x:c r="L10" s="79" t="str">
        <x:f>IF(AND(COLUMN()-4&gt;=$B10,COLUMN()-4&lt;=$C10),"■","")</x:f>
      </x:c>
      <x:c r="M10" s="79" t="str">
        <x:f>IF(AND(COLUMN()-4&gt;=$B10,COLUMN()-4&lt;=$C10),"■","")</x:f>
      </x:c>
      <x:c r="N10" s="79" t="str">
        <x:f>IF(AND(COLUMN()-4&gt;=$B10,COLUMN()-4&lt;=$C10),"■","")</x:f>
      </x:c>
      <x:c r="O10" s="79" t="str">
        <x:f>IF(AND(COLUMN()-4&gt;=$B10,COLUMN()-4&lt;=$C10),"■","")</x:f>
      </x:c>
      <x:c r="P10" s="79" t="str">
        <x:f>IF(AND(COLUMN()-4&gt;=$B10,COLUMN()-4&lt;=$C10),"■","")</x:f>
      </x:c>
      <x:c r="Q10" s="79" t="str">
        <x:f>IF(AND(COLUMN()-4&gt;=$B10,COLUMN()-4&lt;=$C10),"■","")</x:f>
      </x:c>
      <x:c r="R10" s="79" t="str">
        <x:f>IF(AND(COLUMN()-4&gt;=$B10,COLUMN()-4&lt;=$C10),"■","")</x:f>
      </x:c>
      <x:c r="S10" s="79" t="str">
        <x:f>IF(AND(COLUMN()-4&gt;=$B10,COLUMN()-4&lt;=$C10),"■","")</x:f>
      </x:c>
      <x:c r="T10" s="79" t="str">
        <x:f>IF(AND(COLUMN()-4&gt;=$B10,COLUMN()-4&lt;=$C10),"■","")</x:f>
      </x:c>
      <x:c r="U10" s="79" t="str">
        <x:f>IF(AND(COLUMN()-4&gt;=$B10,COLUMN()-4&lt;=$C10),"■","")</x:f>
      </x:c>
      <x:c r="V10" s="80" t="str">
        <x:f>IF(AND(COLUMN()-4&gt;=$B10,COLUMN()-4&lt;=$C10),"■","")</x:f>
      </x:c>
    </x:row>
    <x:row r="11" ht="24" customHeight="1">
      <x:c r="A11" s="77" t="str">
        <x:v>Desarrollo gestión académica</x:v>
      </x:c>
      <x:c r="B11" s="78" t="n">
        <x:v>7</x:v>
      </x:c>
      <x:c r="C11" s="78" t="n">
        <x:v>8</x:v>
      </x:c>
      <x:c r="D11" s="78" t="str">
        <x:v>Equipo</x:v>
      </x:c>
      <x:c r="E11" s="79" t="str">
        <x:f>IF(AND(COLUMN()-4&gt;=$B11,COLUMN()-4&lt;=$C11),"■","")</x:f>
      </x:c>
      <x:c r="F11" s="79" t="str">
        <x:f>IF(AND(COLUMN()-4&gt;=$B11,COLUMN()-4&lt;=$C11),"■","")</x:f>
      </x:c>
      <x:c r="G11" s="79" t="str">
        <x:f>IF(AND(COLUMN()-4&gt;=$B11,COLUMN()-4&lt;=$C11),"■","")</x:f>
      </x:c>
      <x:c r="H11" s="79" t="str">
        <x:f>IF(AND(COLUMN()-4&gt;=$B11,COLUMN()-4&lt;=$C11),"■","")</x:f>
      </x:c>
      <x:c r="I11" s="79" t="str">
        <x:f>IF(AND(COLUMN()-4&gt;=$B11,COLUMN()-4&lt;=$C11),"■","")</x:f>
      </x:c>
      <x:c r="J11" s="79" t="str">
        <x:f>IF(AND(COLUMN()-4&gt;=$B11,COLUMN()-4&lt;=$C11),"■","")</x:f>
      </x:c>
      <x:c r="K11" s="79" t="str">
        <x:f>IF(AND(COLUMN()-4&gt;=$B11,COLUMN()-4&lt;=$C11),"■","")</x:f>
        <x:v>■</x:v>
      </x:c>
      <x:c r="L11" s="79" t="str">
        <x:f>IF(AND(COLUMN()-4&gt;=$B11,COLUMN()-4&lt;=$C11),"■","")</x:f>
        <x:v>■</x:v>
      </x:c>
      <x:c r="M11" s="79" t="str">
        <x:f>IF(AND(COLUMN()-4&gt;=$B11,COLUMN()-4&lt;=$C11),"■","")</x:f>
      </x:c>
      <x:c r="N11" s="79" t="str">
        <x:f>IF(AND(COLUMN()-4&gt;=$B11,COLUMN()-4&lt;=$C11),"■","")</x:f>
      </x:c>
      <x:c r="O11" s="79" t="str">
        <x:f>IF(AND(COLUMN()-4&gt;=$B11,COLUMN()-4&lt;=$C11),"■","")</x:f>
      </x:c>
      <x:c r="P11" s="79" t="str">
        <x:f>IF(AND(COLUMN()-4&gt;=$B11,COLUMN()-4&lt;=$C11),"■","")</x:f>
      </x:c>
      <x:c r="Q11" s="79" t="str">
        <x:f>IF(AND(COLUMN()-4&gt;=$B11,COLUMN()-4&lt;=$C11),"■","")</x:f>
      </x:c>
      <x:c r="R11" s="79" t="str">
        <x:f>IF(AND(COLUMN()-4&gt;=$B11,COLUMN()-4&lt;=$C11),"■","")</x:f>
      </x:c>
      <x:c r="S11" s="79" t="str">
        <x:f>IF(AND(COLUMN()-4&gt;=$B11,COLUMN()-4&lt;=$C11),"■","")</x:f>
      </x:c>
      <x:c r="T11" s="79" t="str">
        <x:f>IF(AND(COLUMN()-4&gt;=$B11,COLUMN()-4&lt;=$C11),"■","")</x:f>
      </x:c>
      <x:c r="U11" s="79" t="str">
        <x:f>IF(AND(COLUMN()-4&gt;=$B11,COLUMN()-4&lt;=$C11),"■","")</x:f>
      </x:c>
      <x:c r="V11" s="80" t="str">
        <x:f>IF(AND(COLUMN()-4&gt;=$B11,COLUMN()-4&lt;=$C11),"■","")</x:f>
      </x:c>
    </x:row>
    <x:row r="12" ht="24" customHeight="1">
      <x:c r="A12" s="81" t="str">
        <x:v>Desarrollo profesores y disponibilidad</x:v>
      </x:c>
      <x:c r="B12" s="82" t="n">
        <x:v>7</x:v>
      </x:c>
      <x:c r="C12" s="82" t="n">
        <x:v>9</x:v>
      </x:c>
      <x:c r="D12" s="82" t="str">
        <x:v>Equipo</x:v>
      </x:c>
      <x:c r="E12" s="79" t="str">
        <x:f>IF(AND(COLUMN()-4&gt;=$B12,COLUMN()-4&lt;=$C12),"■","")</x:f>
      </x:c>
      <x:c r="F12" s="79" t="str">
        <x:f>IF(AND(COLUMN()-4&gt;=$B12,COLUMN()-4&lt;=$C12),"■","")</x:f>
      </x:c>
      <x:c r="G12" s="79" t="str">
        <x:f>IF(AND(COLUMN()-4&gt;=$B12,COLUMN()-4&lt;=$C12),"■","")</x:f>
      </x:c>
      <x:c r="H12" s="79" t="str">
        <x:f>IF(AND(COLUMN()-4&gt;=$B12,COLUMN()-4&lt;=$C12),"■","")</x:f>
      </x:c>
      <x:c r="I12" s="79" t="str">
        <x:f>IF(AND(COLUMN()-4&gt;=$B12,COLUMN()-4&lt;=$C12),"■","")</x:f>
      </x:c>
      <x:c r="J12" s="79" t="str">
        <x:f>IF(AND(COLUMN()-4&gt;=$B12,COLUMN()-4&lt;=$C12),"■","")</x:f>
      </x:c>
      <x:c r="K12" s="79" t="str">
        <x:f>IF(AND(COLUMN()-4&gt;=$B12,COLUMN()-4&lt;=$C12),"■","")</x:f>
        <x:v>■</x:v>
      </x:c>
      <x:c r="L12" s="79" t="str">
        <x:f>IF(AND(COLUMN()-4&gt;=$B12,COLUMN()-4&lt;=$C12),"■","")</x:f>
        <x:v>■</x:v>
      </x:c>
      <x:c r="M12" s="79" t="str">
        <x:f>IF(AND(COLUMN()-4&gt;=$B12,COLUMN()-4&lt;=$C12),"■","")</x:f>
        <x:v>■</x:v>
      </x:c>
      <x:c r="N12" s="79" t="str">
        <x:f>IF(AND(COLUMN()-4&gt;=$B12,COLUMN()-4&lt;=$C12),"■","")</x:f>
      </x:c>
      <x:c r="O12" s="79" t="str">
        <x:f>IF(AND(COLUMN()-4&gt;=$B12,COLUMN()-4&lt;=$C12),"■","")</x:f>
      </x:c>
      <x:c r="P12" s="79" t="str">
        <x:f>IF(AND(COLUMN()-4&gt;=$B12,COLUMN()-4&lt;=$C12),"■","")</x:f>
      </x:c>
      <x:c r="Q12" s="79" t="str">
        <x:f>IF(AND(COLUMN()-4&gt;=$B12,COLUMN()-4&lt;=$C12),"■","")</x:f>
      </x:c>
      <x:c r="R12" s="79" t="str">
        <x:f>IF(AND(COLUMN()-4&gt;=$B12,COLUMN()-4&lt;=$C12),"■","")</x:f>
      </x:c>
      <x:c r="S12" s="79" t="str">
        <x:f>IF(AND(COLUMN()-4&gt;=$B12,COLUMN()-4&lt;=$C12),"■","")</x:f>
      </x:c>
      <x:c r="T12" s="79" t="str">
        <x:f>IF(AND(COLUMN()-4&gt;=$B12,COLUMN()-4&lt;=$C12),"■","")</x:f>
      </x:c>
      <x:c r="U12" s="79" t="str">
        <x:f>IF(AND(COLUMN()-4&gt;=$B12,COLUMN()-4&lt;=$C12),"■","")</x:f>
      </x:c>
      <x:c r="V12" s="80" t="str">
        <x:f>IF(AND(COLUMN()-4&gt;=$B12,COLUMN()-4&lt;=$C12),"■","")</x:f>
      </x:c>
    </x:row>
    <x:row r="13" ht="24" customHeight="1">
      <x:c r="A13" s="77" t="str">
        <x:v>Desarrollo aulas</x:v>
      </x:c>
      <x:c r="B13" s="78" t="n">
        <x:v>8</x:v>
      </x:c>
      <x:c r="C13" s="78" t="n">
        <x:v>9</x:v>
      </x:c>
      <x:c r="D13" s="78" t="str">
        <x:v>Equipo</x:v>
      </x:c>
      <x:c r="E13" s="79" t="str">
        <x:f>IF(AND(COLUMN()-4&gt;=$B13,COLUMN()-4&lt;=$C13),"■","")</x:f>
      </x:c>
      <x:c r="F13" s="79" t="str">
        <x:f>IF(AND(COLUMN()-4&gt;=$B13,COLUMN()-4&lt;=$C13),"■","")</x:f>
      </x:c>
      <x:c r="G13" s="79" t="str">
        <x:f>IF(AND(COLUMN()-4&gt;=$B13,COLUMN()-4&lt;=$C13),"■","")</x:f>
      </x:c>
      <x:c r="H13" s="79" t="str">
        <x:f>IF(AND(COLUMN()-4&gt;=$B13,COLUMN()-4&lt;=$C13),"■","")</x:f>
      </x:c>
      <x:c r="I13" s="79" t="str">
        <x:f>IF(AND(COLUMN()-4&gt;=$B13,COLUMN()-4&lt;=$C13),"■","")</x:f>
      </x:c>
      <x:c r="J13" s="79" t="str">
        <x:f>IF(AND(COLUMN()-4&gt;=$B13,COLUMN()-4&lt;=$C13),"■","")</x:f>
      </x:c>
      <x:c r="K13" s="79" t="str">
        <x:f>IF(AND(COLUMN()-4&gt;=$B13,COLUMN()-4&lt;=$C13),"■","")</x:f>
      </x:c>
      <x:c r="L13" s="79" t="str">
        <x:f>IF(AND(COLUMN()-4&gt;=$B13,COLUMN()-4&lt;=$C13),"■","")</x:f>
        <x:v>■</x:v>
      </x:c>
      <x:c r="M13" s="79" t="str">
        <x:f>IF(AND(COLUMN()-4&gt;=$B13,COLUMN()-4&lt;=$C13),"■","")</x:f>
        <x:v>■</x:v>
      </x:c>
      <x:c r="N13" s="79" t="str">
        <x:f>IF(AND(COLUMN()-4&gt;=$B13,COLUMN()-4&lt;=$C13),"■","")</x:f>
      </x:c>
      <x:c r="O13" s="79" t="str">
        <x:f>IF(AND(COLUMN()-4&gt;=$B13,COLUMN()-4&lt;=$C13),"■","")</x:f>
      </x:c>
      <x:c r="P13" s="79" t="str">
        <x:f>IF(AND(COLUMN()-4&gt;=$B13,COLUMN()-4&lt;=$C13),"■","")</x:f>
      </x:c>
      <x:c r="Q13" s="79" t="str">
        <x:f>IF(AND(COLUMN()-4&gt;=$B13,COLUMN()-4&lt;=$C13),"■","")</x:f>
      </x:c>
      <x:c r="R13" s="79" t="str">
        <x:f>IF(AND(COLUMN()-4&gt;=$B13,COLUMN()-4&lt;=$C13),"■","")</x:f>
      </x:c>
      <x:c r="S13" s="79" t="str">
        <x:f>IF(AND(COLUMN()-4&gt;=$B13,COLUMN()-4&lt;=$C13),"■","")</x:f>
      </x:c>
      <x:c r="T13" s="79" t="str">
        <x:f>IF(AND(COLUMN()-4&gt;=$B13,COLUMN()-4&lt;=$C13),"■","")</x:f>
      </x:c>
      <x:c r="U13" s="79" t="str">
        <x:f>IF(AND(COLUMN()-4&gt;=$B13,COLUMN()-4&lt;=$C13),"■","")</x:f>
      </x:c>
      <x:c r="V13" s="80" t="str">
        <x:f>IF(AND(COLUMN()-4&gt;=$B13,COLUMN()-4&lt;=$C13),"■","")</x:f>
      </x:c>
    </x:row>
    <x:row r="14" ht="24" customHeight="1">
      <x:c r="A14" s="81" t="str">
        <x:v>Desarrollo planificación de horarios</x:v>
      </x:c>
      <x:c r="B14" s="82" t="n">
        <x:v>9</x:v>
      </x:c>
      <x:c r="C14" s="82" t="n">
        <x:v>11</x:v>
      </x:c>
      <x:c r="D14" s="82" t="str">
        <x:v>Equipo</x:v>
      </x:c>
      <x:c r="E14" s="79" t="str">
        <x:f>IF(AND(COLUMN()-4&gt;=$B14,COLUMN()-4&lt;=$C14),"■","")</x:f>
      </x:c>
      <x:c r="F14" s="79" t="str">
        <x:f>IF(AND(COLUMN()-4&gt;=$B14,COLUMN()-4&lt;=$C14),"■","")</x:f>
      </x:c>
      <x:c r="G14" s="79" t="str">
        <x:f>IF(AND(COLUMN()-4&gt;=$B14,COLUMN()-4&lt;=$C14),"■","")</x:f>
      </x:c>
      <x:c r="H14" s="79" t="str">
        <x:f>IF(AND(COLUMN()-4&gt;=$B14,COLUMN()-4&lt;=$C14),"■","")</x:f>
      </x:c>
      <x:c r="I14" s="79" t="str">
        <x:f>IF(AND(COLUMN()-4&gt;=$B14,COLUMN()-4&lt;=$C14),"■","")</x:f>
      </x:c>
      <x:c r="J14" s="79" t="str">
        <x:f>IF(AND(COLUMN()-4&gt;=$B14,COLUMN()-4&lt;=$C14),"■","")</x:f>
      </x:c>
      <x:c r="K14" s="79" t="str">
        <x:f>IF(AND(COLUMN()-4&gt;=$B14,COLUMN()-4&lt;=$C14),"■","")</x:f>
      </x:c>
      <x:c r="L14" s="79" t="str">
        <x:f>IF(AND(COLUMN()-4&gt;=$B14,COLUMN()-4&lt;=$C14),"■","")</x:f>
      </x:c>
      <x:c r="M14" s="79" t="str">
        <x:f>IF(AND(COLUMN()-4&gt;=$B14,COLUMN()-4&lt;=$C14),"■","")</x:f>
        <x:v>■</x:v>
      </x:c>
      <x:c r="N14" s="79" t="str">
        <x:f>IF(AND(COLUMN()-4&gt;=$B14,COLUMN()-4&lt;=$C14),"■","")</x:f>
        <x:v>■</x:v>
      </x:c>
      <x:c r="O14" s="79" t="str">
        <x:f>IF(AND(COLUMN()-4&gt;=$B14,COLUMN()-4&lt;=$C14),"■","")</x:f>
        <x:v>■</x:v>
      </x:c>
      <x:c r="P14" s="79" t="str">
        <x:f>IF(AND(COLUMN()-4&gt;=$B14,COLUMN()-4&lt;=$C14),"■","")</x:f>
      </x:c>
      <x:c r="Q14" s="79" t="str">
        <x:f>IF(AND(COLUMN()-4&gt;=$B14,COLUMN()-4&lt;=$C14),"■","")</x:f>
      </x:c>
      <x:c r="R14" s="79" t="str">
        <x:f>IF(AND(COLUMN()-4&gt;=$B14,COLUMN()-4&lt;=$C14),"■","")</x:f>
      </x:c>
      <x:c r="S14" s="79" t="str">
        <x:f>IF(AND(COLUMN()-4&gt;=$B14,COLUMN()-4&lt;=$C14),"■","")</x:f>
      </x:c>
      <x:c r="T14" s="79" t="str">
        <x:f>IF(AND(COLUMN()-4&gt;=$B14,COLUMN()-4&lt;=$C14),"■","")</x:f>
      </x:c>
      <x:c r="U14" s="79" t="str">
        <x:f>IF(AND(COLUMN()-4&gt;=$B14,COLUMN()-4&lt;=$C14),"■","")</x:f>
      </x:c>
      <x:c r="V14" s="80" t="str">
        <x:f>IF(AND(COLUMN()-4&gt;=$B14,COLUMN()-4&lt;=$C14),"■","")</x:f>
      </x:c>
    </x:row>
    <x:row r="15" ht="24" customHeight="1">
      <x:c r="A15" s="77" t="str">
        <x:v>Desarrollo validación de conflictos</x:v>
      </x:c>
      <x:c r="B15" s="78" t="n">
        <x:v>10</x:v>
      </x:c>
      <x:c r="C15" s="78" t="n">
        <x:v>12</x:v>
      </x:c>
      <x:c r="D15" s="78" t="str">
        <x:v>Equipo</x:v>
      </x:c>
      <x:c r="E15" s="79" t="str">
        <x:f>IF(AND(COLUMN()-4&gt;=$B15,COLUMN()-4&lt;=$C15),"■","")</x:f>
      </x:c>
      <x:c r="F15" s="79" t="str">
        <x:f>IF(AND(COLUMN()-4&gt;=$B15,COLUMN()-4&lt;=$C15),"■","")</x:f>
      </x:c>
      <x:c r="G15" s="79" t="str">
        <x:f>IF(AND(COLUMN()-4&gt;=$B15,COLUMN()-4&lt;=$C15),"■","")</x:f>
      </x:c>
      <x:c r="H15" s="79" t="str">
        <x:f>IF(AND(COLUMN()-4&gt;=$B15,COLUMN()-4&lt;=$C15),"■","")</x:f>
      </x:c>
      <x:c r="I15" s="79" t="str">
        <x:f>IF(AND(COLUMN()-4&gt;=$B15,COLUMN()-4&lt;=$C15),"■","")</x:f>
      </x:c>
      <x:c r="J15" s="79" t="str">
        <x:f>IF(AND(COLUMN()-4&gt;=$B15,COLUMN()-4&lt;=$C15),"■","")</x:f>
      </x:c>
      <x:c r="K15" s="79" t="str">
        <x:f>IF(AND(COLUMN()-4&gt;=$B15,COLUMN()-4&lt;=$C15),"■","")</x:f>
      </x:c>
      <x:c r="L15" s="79" t="str">
        <x:f>IF(AND(COLUMN()-4&gt;=$B15,COLUMN()-4&lt;=$C15),"■","")</x:f>
      </x:c>
      <x:c r="M15" s="79" t="str">
        <x:f>IF(AND(COLUMN()-4&gt;=$B15,COLUMN()-4&lt;=$C15),"■","")</x:f>
      </x:c>
      <x:c r="N15" s="79" t="str">
        <x:f>IF(AND(COLUMN()-4&gt;=$B15,COLUMN()-4&lt;=$C15),"■","")</x:f>
        <x:v>■</x:v>
      </x:c>
      <x:c r="O15" s="79" t="str">
        <x:f>IF(AND(COLUMN()-4&gt;=$B15,COLUMN()-4&lt;=$C15),"■","")</x:f>
        <x:v>■</x:v>
      </x:c>
      <x:c r="P15" s="79" t="str">
        <x:f>IF(AND(COLUMN()-4&gt;=$B15,COLUMN()-4&lt;=$C15),"■","")</x:f>
        <x:v>■</x:v>
      </x:c>
      <x:c r="Q15" s="79" t="str">
        <x:f>IF(AND(COLUMN()-4&gt;=$B15,COLUMN()-4&lt;=$C15),"■","")</x:f>
      </x:c>
      <x:c r="R15" s="79" t="str">
        <x:f>IF(AND(COLUMN()-4&gt;=$B15,COLUMN()-4&lt;=$C15),"■","")</x:f>
      </x:c>
      <x:c r="S15" s="79" t="str">
        <x:f>IF(AND(COLUMN()-4&gt;=$B15,COLUMN()-4&lt;=$C15),"■","")</x:f>
      </x:c>
      <x:c r="T15" s="79" t="str">
        <x:f>IF(AND(COLUMN()-4&gt;=$B15,COLUMN()-4&lt;=$C15),"■","")</x:f>
      </x:c>
      <x:c r="U15" s="79" t="str">
        <x:f>IF(AND(COLUMN()-4&gt;=$B15,COLUMN()-4&lt;=$C15),"■","")</x:f>
      </x:c>
      <x:c r="V15" s="80" t="str">
        <x:f>IF(AND(COLUMN()-4&gt;=$B15,COLUMN()-4&lt;=$C15),"■","")</x:f>
      </x:c>
    </x:row>
    <x:row r="16" ht="24" customHeight="1">
      <x:c r="A16" s="81" t="str">
        <x:v>Desarrollo exportación Excel para Academusoft</x:v>
      </x:c>
      <x:c r="B16" s="82" t="n">
        <x:v>12</x:v>
      </x:c>
      <x:c r="C16" s="82" t="n">
        <x:v>13</x:v>
      </x:c>
      <x:c r="D16" s="82" t="str">
        <x:v>Equipo</x:v>
      </x:c>
      <x:c r="E16" s="79" t="str">
        <x:f>IF(AND(COLUMN()-4&gt;=$B16,COLUMN()-4&lt;=$C16),"■","")</x:f>
      </x:c>
      <x:c r="F16" s="79" t="str">
        <x:f>IF(AND(COLUMN()-4&gt;=$B16,COLUMN()-4&lt;=$C16),"■","")</x:f>
      </x:c>
      <x:c r="G16" s="79" t="str">
        <x:f>IF(AND(COLUMN()-4&gt;=$B16,COLUMN()-4&lt;=$C16),"■","")</x:f>
      </x:c>
      <x:c r="H16" s="79" t="str">
        <x:f>IF(AND(COLUMN()-4&gt;=$B16,COLUMN()-4&lt;=$C16),"■","")</x:f>
      </x:c>
      <x:c r="I16" s="79" t="str">
        <x:f>IF(AND(COLUMN()-4&gt;=$B16,COLUMN()-4&lt;=$C16),"■","")</x:f>
      </x:c>
      <x:c r="J16" s="79" t="str">
        <x:f>IF(AND(COLUMN()-4&gt;=$B16,COLUMN()-4&lt;=$C16),"■","")</x:f>
      </x:c>
      <x:c r="K16" s="79" t="str">
        <x:f>IF(AND(COLUMN()-4&gt;=$B16,COLUMN()-4&lt;=$C16),"■","")</x:f>
      </x:c>
      <x:c r="L16" s="79" t="str">
        <x:f>IF(AND(COLUMN()-4&gt;=$B16,COLUMN()-4&lt;=$C16),"■","")</x:f>
      </x:c>
      <x:c r="M16" s="79" t="str">
        <x:f>IF(AND(COLUMN()-4&gt;=$B16,COLUMN()-4&lt;=$C16),"■","")</x:f>
      </x:c>
      <x:c r="N16" s="79" t="str">
        <x:f>IF(AND(COLUMN()-4&gt;=$B16,COLUMN()-4&lt;=$C16),"■","")</x:f>
      </x:c>
      <x:c r="O16" s="79" t="str">
        <x:f>IF(AND(COLUMN()-4&gt;=$B16,COLUMN()-4&lt;=$C16),"■","")</x:f>
      </x:c>
      <x:c r="P16" s="79" t="str">
        <x:f>IF(AND(COLUMN()-4&gt;=$B16,COLUMN()-4&lt;=$C16),"■","")</x:f>
        <x:v>■</x:v>
      </x:c>
      <x:c r="Q16" s="79" t="str">
        <x:f>IF(AND(COLUMN()-4&gt;=$B16,COLUMN()-4&lt;=$C16),"■","")</x:f>
        <x:v>■</x:v>
      </x:c>
      <x:c r="R16" s="79" t="str">
        <x:f>IF(AND(COLUMN()-4&gt;=$B16,COLUMN()-4&lt;=$C16),"■","")</x:f>
      </x:c>
      <x:c r="S16" s="79" t="str">
        <x:f>IF(AND(COLUMN()-4&gt;=$B16,COLUMN()-4&lt;=$C16),"■","")</x:f>
      </x:c>
      <x:c r="T16" s="79" t="str">
        <x:f>IF(AND(COLUMN()-4&gt;=$B16,COLUMN()-4&lt;=$C16),"■","")</x:f>
      </x:c>
      <x:c r="U16" s="79" t="str">
        <x:f>IF(AND(COLUMN()-4&gt;=$B16,COLUMN()-4&lt;=$C16),"■","")</x:f>
      </x:c>
      <x:c r="V16" s="80" t="str">
        <x:f>IF(AND(COLUMN()-4&gt;=$B16,COLUMN()-4&lt;=$C16),"■","")</x:f>
      </x:c>
    </x:row>
    <x:row r="17" ht="24" customHeight="1">
      <x:c r="A17" s="77" t="str">
        <x:v>Integración y pruebas</x:v>
      </x:c>
      <x:c r="B17" s="78" t="n">
        <x:v>13</x:v>
      </x:c>
      <x:c r="C17" s="78" t="n">
        <x:v>15</x:v>
      </x:c>
      <x:c r="D17" s="78" t="str">
        <x:v>Equipo</x:v>
      </x:c>
      <x:c r="E17" s="79" t="str">
        <x:f>IF(AND(COLUMN()-4&gt;=$B17,COLUMN()-4&lt;=$C17),"■","")</x:f>
      </x:c>
      <x:c r="F17" s="79" t="str">
        <x:f>IF(AND(COLUMN()-4&gt;=$B17,COLUMN()-4&lt;=$C17),"■","")</x:f>
      </x:c>
      <x:c r="G17" s="79" t="str">
        <x:f>IF(AND(COLUMN()-4&gt;=$B17,COLUMN()-4&lt;=$C17),"■","")</x:f>
      </x:c>
      <x:c r="H17" s="79" t="str">
        <x:f>IF(AND(COLUMN()-4&gt;=$B17,COLUMN()-4&lt;=$C17),"■","")</x:f>
      </x:c>
      <x:c r="I17" s="79" t="str">
        <x:f>IF(AND(COLUMN()-4&gt;=$B17,COLUMN()-4&lt;=$C17),"■","")</x:f>
      </x:c>
      <x:c r="J17" s="79" t="str">
        <x:f>IF(AND(COLUMN()-4&gt;=$B17,COLUMN()-4&lt;=$C17),"■","")</x:f>
      </x:c>
      <x:c r="K17" s="79" t="str">
        <x:f>IF(AND(COLUMN()-4&gt;=$B17,COLUMN()-4&lt;=$C17),"■","")</x:f>
      </x:c>
      <x:c r="L17" s="79" t="str">
        <x:f>IF(AND(COLUMN()-4&gt;=$B17,COLUMN()-4&lt;=$C17),"■","")</x:f>
      </x:c>
      <x:c r="M17" s="79" t="str">
        <x:f>IF(AND(COLUMN()-4&gt;=$B17,COLUMN()-4&lt;=$C17),"■","")</x:f>
      </x:c>
      <x:c r="N17" s="79" t="str">
        <x:f>IF(AND(COLUMN()-4&gt;=$B17,COLUMN()-4&lt;=$C17),"■","")</x:f>
      </x:c>
      <x:c r="O17" s="79" t="str">
        <x:f>IF(AND(COLUMN()-4&gt;=$B17,COLUMN()-4&lt;=$C17),"■","")</x:f>
      </x:c>
      <x:c r="P17" s="79" t="str">
        <x:f>IF(AND(COLUMN()-4&gt;=$B17,COLUMN()-4&lt;=$C17),"■","")</x:f>
      </x:c>
      <x:c r="Q17" s="79" t="str">
        <x:f>IF(AND(COLUMN()-4&gt;=$B17,COLUMN()-4&lt;=$C17),"■","")</x:f>
        <x:v>■</x:v>
      </x:c>
      <x:c r="R17" s="79" t="str">
        <x:f>IF(AND(COLUMN()-4&gt;=$B17,COLUMN()-4&lt;=$C17),"■","")</x:f>
        <x:v>■</x:v>
      </x:c>
      <x:c r="S17" s="79" t="str">
        <x:f>IF(AND(COLUMN()-4&gt;=$B17,COLUMN()-4&lt;=$C17),"■","")</x:f>
        <x:v>■</x:v>
      </x:c>
      <x:c r="T17" s="79" t="str">
        <x:f>IF(AND(COLUMN()-4&gt;=$B17,COLUMN()-4&lt;=$C17),"■","")</x:f>
      </x:c>
      <x:c r="U17" s="79" t="str">
        <x:f>IF(AND(COLUMN()-4&gt;=$B17,COLUMN()-4&lt;=$C17),"■","")</x:f>
      </x:c>
      <x:c r="V17" s="80" t="str">
        <x:f>IF(AND(COLUMN()-4&gt;=$B17,COLUMN()-4&lt;=$C17),"■","")</x:f>
      </x:c>
    </x:row>
    <x:row r="18" ht="24" customHeight="1">
      <x:c r="A18" s="83" t="str">
        <x:v>Correcciones, documentación y entrega</x:v>
      </x:c>
      <x:c r="B18" s="84" t="n">
        <x:v>14</x:v>
      </x:c>
      <x:c r="C18" s="84" t="n">
        <x:v>18</x:v>
      </x:c>
      <x:c r="D18" s="84" t="str">
        <x:v>Equipo</x:v>
      </x:c>
      <x:c r="E18" s="85" t="str">
        <x:f>IF(AND(COLUMN()-4&gt;=$B18,COLUMN()-4&lt;=$C18),"■","")</x:f>
      </x:c>
      <x:c r="F18" s="85" t="str">
        <x:f>IF(AND(COLUMN()-4&gt;=$B18,COLUMN()-4&lt;=$C18),"■","")</x:f>
      </x:c>
      <x:c r="G18" s="85" t="str">
        <x:f>IF(AND(COLUMN()-4&gt;=$B18,COLUMN()-4&lt;=$C18),"■","")</x:f>
      </x:c>
      <x:c r="H18" s="85" t="str">
        <x:f>IF(AND(COLUMN()-4&gt;=$B18,COLUMN()-4&lt;=$C18),"■","")</x:f>
      </x:c>
      <x:c r="I18" s="85" t="str">
        <x:f>IF(AND(COLUMN()-4&gt;=$B18,COLUMN()-4&lt;=$C18),"■","")</x:f>
      </x:c>
      <x:c r="J18" s="85" t="str">
        <x:f>IF(AND(COLUMN()-4&gt;=$B18,COLUMN()-4&lt;=$C18),"■","")</x:f>
      </x:c>
      <x:c r="K18" s="85" t="str">
        <x:f>IF(AND(COLUMN()-4&gt;=$B18,COLUMN()-4&lt;=$C18),"■","")</x:f>
      </x:c>
      <x:c r="L18" s="85" t="str">
        <x:f>IF(AND(COLUMN()-4&gt;=$B18,COLUMN()-4&lt;=$C18),"■","")</x:f>
      </x:c>
      <x:c r="M18" s="85" t="str">
        <x:f>IF(AND(COLUMN()-4&gt;=$B18,COLUMN()-4&lt;=$C18),"■","")</x:f>
      </x:c>
      <x:c r="N18" s="85" t="str">
        <x:f>IF(AND(COLUMN()-4&gt;=$B18,COLUMN()-4&lt;=$C18),"■","")</x:f>
      </x:c>
      <x:c r="O18" s="85" t="str">
        <x:f>IF(AND(COLUMN()-4&gt;=$B18,COLUMN()-4&lt;=$C18),"■","")</x:f>
      </x:c>
      <x:c r="P18" s="85" t="str">
        <x:f>IF(AND(COLUMN()-4&gt;=$B18,COLUMN()-4&lt;=$C18),"■","")</x:f>
      </x:c>
      <x:c r="Q18" s="85" t="str">
        <x:f>IF(AND(COLUMN()-4&gt;=$B18,COLUMN()-4&lt;=$C18),"■","")</x:f>
      </x:c>
      <x:c r="R18" s="85" t="str">
        <x:f>IF(AND(COLUMN()-4&gt;=$B18,COLUMN()-4&lt;=$C18),"■","")</x:f>
        <x:v>■</x:v>
      </x:c>
      <x:c r="S18" s="85" t="str">
        <x:f>IF(AND(COLUMN()-4&gt;=$B18,COLUMN()-4&lt;=$C18),"■","")</x:f>
        <x:v>■</x:v>
      </x:c>
      <x:c r="T18" s="85" t="str">
        <x:f>IF(AND(COLUMN()-4&gt;=$B18,COLUMN()-4&lt;=$C18),"■","")</x:f>
        <x:v>■</x:v>
      </x:c>
      <x:c r="U18" s="85" t="str">
        <x:f>IF(AND(COLUMN()-4&gt;=$B18,COLUMN()-4&lt;=$C18),"■","")</x:f>
        <x:v>■</x:v>
      </x:c>
      <x:c r="V18" s="86" t="str">
        <x:f>IF(AND(COLUMN()-4&gt;=$B18,COLUMN()-4&lt;=$C18),"■","")</x:f>
        <x:v>■</x:v>
      </x:c>
    </x:row>
    <x:row r="21" ht="22" customHeight="1">
      <x:c r="A21" s="65" t="str">
        <x:v>Hitos principales</x:v>
      </x:c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</x:row>
    <x:row r="22" ht="22" customHeight="1">
      <x:c r="A22" s="106" t="str">
        <x:v>Hito</x:v>
      </x:c>
      <x:c r="B22" s="107" t="str">
        <x:v>Semana</x:v>
      </x:c>
      <x:c r="C22" s="108" t="str">
        <x:v>Resultado esperado</x:v>
      </x:c>
    </x:row>
    <x:row r="23" ht="30" customHeight="1">
      <x:c r="A23" s="77" t="str">
        <x:v>Hito 1</x:v>
      </x:c>
      <x:c r="B23" s="109" t="str">
        <x:v>S5</x:v>
      </x:c>
      <x:c r="C23" s="110" t="str">
        <x:v>Requerimientos, proceso AS-IS/TO-BE, arquitectura y diseño inicial definidos.</x:v>
      </x:c>
    </x:row>
    <x:row r="24" ht="30" customHeight="1">
      <x:c r="A24" s="77" t="str">
        <x:v>Hito 2</x:v>
      </x:c>
      <x:c r="B24" s="109" t="str">
        <x:v>S9</x:v>
      </x:c>
      <x:c r="C24" s="110" t="str">
        <x:v>Módulos maestros y gestión de profesores/aulas operativos.</x:v>
      </x:c>
    </x:row>
    <x:row r="25" ht="30" customHeight="1">
      <x:c r="A25" s="77" t="str">
        <x:v>Hito 3</x:v>
      </x:c>
      <x:c r="B25" s="109" t="str">
        <x:v>S12</x:v>
      </x:c>
      <x:c r="C25" s="110" t="str">
        <x:v>Planificación manual y validación de conflictos funcionando.</x:v>
      </x:c>
    </x:row>
    <x:row r="26" ht="30" customHeight="1">
      <x:c r="A26" s="77" t="str">
        <x:v>Hito 4</x:v>
      </x:c>
      <x:c r="B26" s="109" t="str">
        <x:v>S15</x:v>
      </x:c>
      <x:c r="C26" s="110" t="str">
        <x:v>Sistema integrado, probado y con exportación para Academusoft.</x:v>
      </x:c>
    </x:row>
    <x:row r="27" ht="30" customHeight="1">
      <x:c r="A27" s="77" t="str">
        <x:v>Hito 5</x:v>
      </x:c>
      <x:c r="B27" s="109" t="str">
        <x:v>S17</x:v>
      </x:c>
      <x:c r="C27" s="110" t="str">
        <x:v>Versión final documentada y preparada para entrega.</x:v>
      </x:c>
    </x:row>
    <x:row r="28" ht="30" customHeight="1">
      <x:c r="A28" s="111" t="str">
        <x:v>Hito 6</x:v>
      </x:c>
      <x:c r="B28" s="112" t="str">
        <x:v>S18</x:v>
      </x:c>
      <x:c r="C28" s="113" t="str">
        <x:v>Presentación y cierre del proyecto.</x:v>
      </x:c>
    </x:row>
  </x:sheetData>
  <x:mergeCells>
    <x:mergeCell ref="A1:V1"/>
    <x:mergeCell ref="A2:V2"/>
    <x:mergeCell ref="E3:I3"/>
    <x:mergeCell ref="J3:S3"/>
    <x:mergeCell ref="T3:V3"/>
    <x:mergeCell ref="A21:V21"/>
  </x:mergeCells>
  <x:conditionalFormatting sqref="E5:I18">
    <x:cfRule type="expression" dxfId="0" priority="1">
      <x:formula>E5="■"</x:formula>
    </x:cfRule>
  </x:conditionalFormatting>
  <x:conditionalFormatting sqref="J5:S18">
    <x:cfRule type="expression" dxfId="1" priority="2">
      <x:formula>J5="■"</x:formula>
    </x:cfRule>
  </x:conditionalFormatting>
  <x:conditionalFormatting sqref="T5:V18">
    <x:cfRule type="expression" dxfId="2" priority="3">
      <x:formula>T5="■"</x:formula>
    </x:cfRule>
  </x:conditionalFormatting>
  <x:pageMargins left="0.7" right="0.7" top="0.75" bottom="0.75" header="0.3" footer="0.3"/>
</x:worksheet>
</file>