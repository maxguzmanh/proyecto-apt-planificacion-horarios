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d51b97bb5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 de Trabajo" sheetId="1" r:id="R8438b3fc4aa1448e"/>
    <x:sheet xmlns:r="http://schemas.openxmlformats.org/officeDocument/2006/relationships" name="Resumen Kanban" sheetId="2" r:id="R25b249e12deb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-yyyy"/>
    <x:numFmt numFmtId="201" formatCode="0.0%"/>
  </x:numFmts>
  <x:fonts count="11">
    <x:font>
      <x:sz val="11"/>
      <x:name val="Carlito"/>
    </x:font>
    <x:font>
      <x:b/>
      <x:sz val="16"/>
      <x:color rgb="FF17365D"/>
      <x:name val="Arial"/>
    </x:font>
    <x:font>
      <x:sz val="11"/>
      <x:color rgb="FF263747"/>
      <x:name val="Arial"/>
    </x:font>
    <x:font>
      <x:sz val="10"/>
      <x:color rgb="FF263747"/>
      <x:name val="Arial"/>
    </x:font>
    <x:font>
      <x:i/>
      <x:sz val="10"/>
      <x:color rgb="FF66778A"/>
      <x:name val="Arial"/>
    </x:font>
    <x:font>
      <x:b/>
      <x:sz val="10"/>
      <x:color rgb="FFFFFFFF"/>
      <x:name val="Arial"/>
    </x:font>
    <x:font>
      <x:b/>
      <x:sz val="10"/>
      <x:color rgb="FF2E5C92"/>
      <x:name val="Arial"/>
    </x:font>
    <x:font>
      <x:sz val="10"/>
      <x:color rgb="FF66778A"/>
      <x:name val="Arial"/>
    </x:font>
    <x:font>
      <x:b/>
      <x:sz val="10"/>
      <x:color rgb="FF66778A"/>
      <x:name val="Arial"/>
    </x:font>
    <x:font>
      <x:b/>
      <x:sz val="10"/>
      <x:color rgb="FF263747"/>
      <x:name val="Arial"/>
    </x:font>
    <x:font>
      <x:b/>
      <x:sz val="11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1F9"/>
      </x:patternFill>
    </x:fill>
    <x:fill>
      <x:patternFill patternType="solid">
        <x:fgColor rgb="FFF7FAFD"/>
      </x:patternFill>
    </x:fill>
    <x:fill>
      <x:patternFill patternType="solid">
        <x:fgColor rgb="FF17365D"/>
      </x:patternFill>
    </x:fill>
    <x:fill>
      <x:patternFill patternType="solid">
        <x:fgColor rgb="FFFAE5E4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D9E3EC"/>
      </x:bottom>
      <x:diagonal/>
    </x:border>
    <x:border>
      <x:left/>
      <x:right style="thin">
        <x:color rgb="FFD9E3EC"/>
      </x:right>
      <x:top/>
      <x:bottom style="thin">
        <x:color rgb="FFD9E3EC"/>
      </x:bottom>
      <x:diagonal/>
    </x:border>
    <x:border>
      <x:left style="thin">
        <x:color rgb="FFD9E3EC"/>
      </x:left>
      <x:right/>
      <x:top/>
      <x:bottom style="thin">
        <x:color rgb="FFD9E3EC"/>
      </x:bottom>
      <x:diagonal/>
    </x:border>
    <x:border>
      <x:left/>
      <x:right style="thin">
        <x:color rgb="FFD9E3EC"/>
      </x:right>
      <x:top style="thin">
        <x:color rgb="FFD9E3EC"/>
      </x:top>
      <x:bottom style="thin">
        <x:color rgb="FFD9E3EC"/>
      </x:bottom>
      <x:diagonal/>
    </x:border>
    <x:border>
      <x:left style="thin">
        <x:color rgb="FFD9E3EC"/>
      </x:left>
      <x:right/>
      <x:top style="thin">
        <x:color rgb="FFD9E3EC"/>
      </x:top>
      <x:bottom style="thin">
        <x:color rgb="FFD9E3EC"/>
      </x:bottom>
      <x:diagonal/>
    </x:border>
    <x:border>
      <x:left/>
      <x:right style="thin">
        <x:color rgb="FFD9E3EC"/>
      </x:right>
      <x:top style="thin">
        <x:color rgb="FFD9E3EC"/>
      </x:top>
      <x:bottom/>
      <x:diagonal/>
    </x:border>
    <x:border>
      <x:left style="thin">
        <x:color rgb="FFD9E3EC"/>
      </x:left>
      <x:right/>
      <x:top style="thin">
        <x:color rgb="FFD9E3EC"/>
      </x:top>
      <x:bottom/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/>
    <x:xf numFmtId="0" fontId="8" fillId="0" borderId="0" xfId="0" applyNumberFormat="1" applyFont="1" applyFill="1" applyBorder="1"/>
    <x:xf numFmtId="201" fontId="0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263747"/>
      </x:font>
      <x:fill>
        <x:patternFill patternType="solid">
          <x:bgColor rgb="FFEAF1F9"/>
        </x:patternFill>
      </x:fill>
    </x:dxf>
    <x:dxf>
      <x:font>
        <x:b/>
        <x:color rgb="FF263747"/>
      </x:font>
      <x:fill>
        <x:patternFill patternType="solid">
          <x:bgColor rgb="FFEDF1F5"/>
        </x:patternFill>
      </x:fill>
    </x:dxf>
    <x:dxf>
      <x:font>
        <x:b/>
        <x:color rgb="FF263747"/>
      </x:font>
      <x:fill>
        <x:patternFill patternType="solid">
          <x:bgColor rgb="FFFFF2D4"/>
        </x:patternFill>
      </x:fill>
    </x:dxf>
    <x:dxf>
      <x:font>
        <x:b/>
        <x:color rgb="FF263747"/>
      </x:font>
      <x:fill>
        <x:patternFill patternType="solid">
          <x:bgColor rgb="FFE5EFFA"/>
        </x:patternFill>
      </x:fill>
    </x:dxf>
    <x:dxf>
      <x:font>
        <x:b/>
        <x:color rgb="FF263747"/>
      </x:font>
      <x:fill>
        <x:patternFill patternType="solid">
          <x:bgColor rgb="FFFAE5E4"/>
        </x:patternFill>
      </x:fill>
    </x:dxf>
    <x:dxf>
      <x:font>
        <x:b/>
        <x:color rgb="FF263747"/>
      </x:font>
      <x:fill>
        <x:patternFill patternType="solid">
          <x:bgColor rgb="FFE4F2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f755754f148b3" /><Relationship Type="http://schemas.openxmlformats.org/officeDocument/2006/relationships/theme" Target="/xl/theme/theme1.xml" Id="R2de39b15cc844e21" /><Relationship Type="http://schemas.openxmlformats.org/officeDocument/2006/relationships/sharedStrings" Target="/xl/sharedStrings.xml" Id="Red5d1cd6aaa34319" /><Relationship Type="http://schemas.openxmlformats.org/officeDocument/2006/relationships/worksheet" Target="/xl/worksheets/sheet1.xml" Id="R8438b3fc4aa1448e" /><Relationship Type="http://schemas.openxmlformats.org/officeDocument/2006/relationships/worksheet" Target="/xl/worksheets/sheet2.xml" Id="R25b249e12deb4a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3ef1d6b25b4c9d" /><Relationship Type="http://schemas.openxmlformats.org/officeDocument/2006/relationships/chart" Target="/xl/drawings/charts/chart2.xml" Id="Rfb3ecf29fd6141d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Ítems por Estado Kanban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Ítems</c:v>
          </c:tx>
          <c:spPr>
            <a:solidFill xmlns:a="http://schemas.openxmlformats.org/drawingml/2006/main">
              <a:srgbClr val="2E5C92"/>
            </a:solidFill>
          </c:spPr>
          <c:invertIfNegative val="0"/>
          <c:cat>
            <c:strRef>
              <c:f>'Resumen Kanban'!$B$12:$B$17</c:f>
              <c:strCache>
                <c:ptCount val="0"/>
              </c:strCache>
            </c:strRef>
          </c:cat>
          <c:val>
            <c:numRef>
              <c:f>'Resumen Kanban'!$C$12:$C$17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Ítems por Prioridad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Ítems</c:v>
          </c:tx>
          <c:spPr>
            <a:solidFill xmlns:a="http://schemas.openxmlformats.org/drawingml/2006/main">
              <a:srgbClr val="83A5C9"/>
            </a:solidFill>
          </c:spPr>
          <c:invertIfNegative val="0"/>
          <c:cat>
            <c:strRef>
              <c:f>'Resumen Kanban'!$F$12:$F$14</c:f>
              <c:strCache>
                <c:ptCount val="0"/>
              </c:strCache>
            </c:strRef>
          </c:cat>
          <c:val>
            <c:numRef>
              <c:f>'Resumen Kanban'!$G$12:$G$14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3ef1d6b25b4c9d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18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3ecf29fd6141d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logKanban" displayName="BacklogKanban" ref="A10:M64" headerRowCount="1" totalsRowCount="0" totalsRowShown="0">
  <x:autoFilter ref="A10:M64"/>
  <x:tableColumns count="13">
    <x:tableColumn id="1" name="ID"/>
    <x:tableColumn id="2" name="Épica / Área"/>
    <x:tableColumn id="3" name="Ítem de trabajo"/>
    <x:tableColumn id="4" name="Historia de Usuario relacionada"/>
    <x:tableColumn id="5" name="Descripción"/>
    <x:tableColumn id="6" name="Prioridad"/>
    <x:tableColumn id="7" name="Responsable"/>
    <x:tableColumn id="8" name="Estado Kanban"/>
    <x:tableColumn id="9" name="Dependencias"/>
    <x:tableColumn id="10" name="Criterio de Terminado"/>
    <x:tableColumn id="11" name="Fecha de incorporación"/>
    <x:tableColumn id="12" name="Fecha de finalización"/>
    <x:tableColumn id="13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26d7ea85d14c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799f1eebde4495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34" hidden="0" customWidth="1"/>
    <x:col min="4" max="4" width="25" hidden="0" customWidth="1"/>
    <x:col min="5" max="5" width="52" hidden="0" customWidth="1"/>
    <x:col min="6" max="6" width="13" hidden="0" customWidth="1"/>
    <x:col min="7" max="7" width="24" hidden="0" customWidth="1"/>
    <x:col min="8" max="8" width="19" hidden="0" customWidth="1"/>
    <x:col min="9" max="9" width="42" hidden="0" customWidth="1"/>
    <x:col min="10" max="10" width="52" hidden="0" customWidth="1"/>
    <x:col min="11" max="11" width="20" hidden="0" customWidth="1"/>
    <x:col min="12" max="12" width="20" hidden="0" customWidth="1"/>
    <x:col min="13" max="13" width="65" hidden="0" customWidth="1"/>
  </x:cols>
  <x:sheetData>
    <x:row r="2" ht="32" customHeight="1">
      <x:c r="A2" s="2" t="str">
        <x:v>12. Backlog de Trabajo – Adaptación Kanban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Proyecto UniPlan  |  Proyecto Capstone · Ingeniería Informática  |  Maximiliano Guzmán e Iván Tobar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5" ht="52" customHeight="1">
      <x:c r="A5" s="8" t="str">
        <x:v>Debido a que el equipo está conformado por dos integrantes y se adoptó una metodología Kanban + Backlog, el Sprint Backlog fue reemplazado por un Backlog de Trabajo continuo. Los elementos se seleccionan desde el Product Backlog y avanzan a través del flujo Kanban según prioridad, capacidad disponible y estado de desarrollo.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</x:row>
    <x:row r="6" ht="25" customHeight="1">
      <x:c r="A6" s="10" t="str">
        <x:v>Corte de fuentes: Product Backlog formal al 14-10-2026; Seguimiento Kanban retrospectivo al 14-10-2026. No se adjuntó exportación del tablero Trello.</x:v>
      </x:c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</x:row>
    <x:row r="7" ht="27" customHeight="1">
      <x:c r="A7" s="12" t="str">
        <x:v>Selección: PB-001 a PB-050 y PB-051 a PB-054. PB-051 permanece en Product Backlog; los demás se muestran como trabajo operativo o documentado. Las fechas por ítem no constan en las fuentes.</x:v>
      </x:c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 ht="27" customHeight="1">
      <x:c r="A8" s="15" t="str">
        <x:v>Política WIP: hasta 2 ítems principales en “En desarrollo”, equivalente a un ítem activo por integrante. Es una regla de trabajo del equipo, no un bloqueo técnico.</x:v>
      </x:c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</x:row>
    <x:row r="10" ht="43" customHeight="1">
      <x:c r="A10" s="19" t="str">
        <x:v>ID</x:v>
      </x:c>
      <x:c r="B10" s="19" t="str">
        <x:v>Épica / Área</x:v>
      </x:c>
      <x:c r="C10" s="19" t="str">
        <x:v>Ítem de trabajo</x:v>
      </x:c>
      <x:c r="D10" s="19" t="str">
        <x:v>Historia de Usuario relacionada</x:v>
      </x:c>
      <x:c r="E10" s="19" t="str">
        <x:v>Descripción</x:v>
      </x:c>
      <x:c r="F10" s="19" t="str">
        <x:v>Prioridad</x:v>
      </x:c>
      <x:c r="G10" s="19" t="str">
        <x:v>Responsable</x:v>
      </x:c>
      <x:c r="H10" s="19" t="str">
        <x:v>Estado Kanban</x:v>
      </x:c>
      <x:c r="I10" s="19" t="str">
        <x:v>Dependencias</x:v>
      </x:c>
      <x:c r="J10" s="19" t="str">
        <x:v>Criterio de Terminado</x:v>
      </x:c>
      <x:c r="K10" s="19" t="str">
        <x:v>Fecha de incorporación</x:v>
      </x:c>
      <x:c r="L10" s="19" t="str">
        <x:v>Fecha de finalización</x:v>
      </x:c>
      <x:c r="M10" s="19" t="str">
        <x:v>Observaciones</x:v>
      </x:c>
    </x:row>
    <x:row r="11" ht="57" customHeight="1">
      <x:c r="A11" s="21" t="str">
        <x:v>PB-001</x:v>
      </x:c>
      <x:c r="B11" s="20" t="str">
        <x:v>Acceso y seguridad</x:v>
      </x:c>
      <x:c r="C11" s="20" t="str">
        <x:v>Autenticación de usuarios</x:v>
      </x:c>
      <x:c r="D11" s="20" t="str">
        <x:v>HU-01</x:v>
      </x:c>
      <x:c r="E11" s="20" t="str">
        <x:v>Validar credenciales y abrir una sesión para usar UniPlan.</x:v>
      </x:c>
      <x:c r="F11" s="20" t="str">
        <x:v>Alta</x:v>
      </x:c>
      <x:c r="G11" s="20" t="str">
        <x:v>Ambos</x:v>
      </x:c>
      <x:c r="H11" s="20" t="str">
        <x:v>Por hacer</x:v>
      </x:c>
      <x:c r="I11" s="20" t="str">
        <x:v>Usuarios y modelo de roles</x:v>
      </x:c>
      <x:c r="J11" s="20" t="str">
        <x:v>Ingreso válido y rechazo de credenciales incorrectas.</x:v>
      </x:c>
      <x:c r="K11" s="22" t="str"/>
      <x:c r="L11" s="22" t="str"/>
      <x:c r="M11" s="20" t="str"/>
    </x:row>
    <x:row r="12" ht="57" customHeight="1">
      <x:c r="A12" s="21" t="str">
        <x:v>PB-002</x:v>
      </x:c>
      <x:c r="B12" s="20" t="str">
        <x:v>Acceso y seguridad</x:v>
      </x:c>
      <x:c r="C12" s="20" t="str">
        <x:v>Roles y permisos administrativos</x:v>
      </x:c>
      <x:c r="D12" s="20" t="str">
        <x:v>HU-02</x:v>
      </x:c>
      <x:c r="E12" s="20" t="str">
        <x:v>Separar las acciones del Administrador / Planificador de las del Profesor.</x:v>
      </x:c>
      <x:c r="F12" s="20" t="str">
        <x:v>Alta</x:v>
      </x:c>
      <x:c r="G12" s="20" t="str">
        <x:v>Ambos</x:v>
      </x:c>
      <x:c r="H12" s="20" t="str">
        <x:v>Por hacer</x:v>
      </x:c>
      <x:c r="I12" s="20" t="str">
        <x:v>Autenticación</x:v>
      </x:c>
      <x:c r="J12" s="20" t="str">
        <x:v>Cada rol accede solo a las funciones autorizadas.</x:v>
      </x:c>
      <x:c r="K12" s="22" t="str"/>
      <x:c r="L12" s="22" t="str"/>
      <x:c r="M12" s="20" t="str"/>
    </x:row>
    <x:row r="13" ht="57" customHeight="1">
      <x:c r="A13" s="21" t="str">
        <x:v>PB-003</x:v>
      </x:c>
      <x:c r="B13" s="20" t="str">
        <x:v>Acceso y seguridad</x:v>
      </x:c>
      <x:c r="C13" s="20" t="str">
        <x:v>Redirección por rol</x:v>
      </x:c>
      <x:c r="D13" s="20" t="str">
        <x:v>HU-01, HU-20</x:v>
      </x:c>
      <x:c r="E13" s="20" t="str">
        <x:v>Dirigir al usuario a su espacio al iniciar sesión.</x:v>
      </x:c>
      <x:c r="F13" s="20" t="str">
        <x:v>Alta</x:v>
      </x:c>
      <x:c r="G13" s="20" t="str">
        <x:v>Ambos</x:v>
      </x:c>
      <x:c r="H13" s="20" t="str">
        <x:v>Por hacer</x:v>
      </x:c>
      <x:c r="I13" s="20" t="str">
        <x:v>Autenticación y roles</x:v>
      </x:c>
      <x:c r="J13" s="20" t="str">
        <x:v>El administrador abre planificación y el profesor abre su portal.</x:v>
      </x:c>
      <x:c r="K13" s="22" t="str"/>
      <x:c r="L13" s="22" t="str"/>
      <x:c r="M13" s="20" t="str"/>
    </x:row>
    <x:row r="14" ht="57" customHeight="1">
      <x:c r="A14" s="21" t="str">
        <x:v>PB-004</x:v>
      </x:c>
      <x:c r="B14" s="20" t="str">
        <x:v>Acceso y seguridad</x:v>
      </x:c>
      <x:c r="C14" s="20" t="str">
        <x:v>Protección de rutas y operaciones</x:v>
      </x:c>
      <x:c r="D14" s="20" t="str">
        <x:v>HU-02</x:v>
      </x:c>
      <x:c r="E14" s="20" t="str">
        <x:v>Rechazar accesos directos a acciones administrativas sin autorización.</x:v>
      </x:c>
      <x:c r="F14" s="20" t="str">
        <x:v>Alta</x:v>
      </x:c>
      <x:c r="G14" s="20" t="str">
        <x:v>Ambos</x:v>
      </x:c>
      <x:c r="H14" s="20" t="str">
        <x:v>Por hacer</x:v>
      </x:c>
      <x:c r="I14" s="20" t="str">
        <x:v>Roles y permisos</x:v>
      </x:c>
      <x:c r="J14" s="20" t="str">
        <x:v>Las solicitudes no autorizadas no exponen ni alteran datos.</x:v>
      </x:c>
      <x:c r="K14" s="22" t="str"/>
      <x:c r="L14" s="22" t="str"/>
      <x:c r="M14" s="20" t="str"/>
    </x:row>
    <x:row r="15" ht="57" customHeight="1">
      <x:c r="A15" s="21" t="str">
        <x:v>PB-005</x:v>
      </x:c>
      <x:c r="B15" s="20" t="str">
        <x:v>Acceso y seguridad</x:v>
      </x:c>
      <x:c r="C15" s="20" t="str">
        <x:v>Aislamiento del horario del profesor</x:v>
      </x:c>
      <x:c r="D15" s="20" t="str">
        <x:v>HU-21</x:v>
      </x:c>
      <x:c r="E15" s="20" t="str">
        <x:v>Filtrar consultas y descargas por el perfil autenticado.</x:v>
      </x:c>
      <x:c r="F15" s="20" t="str">
        <x:v>Alta</x:v>
      </x:c>
      <x:c r="G15" s="20" t="str">
        <x:v>Ambos</x:v>
      </x:c>
      <x:c r="H15" s="20" t="str">
        <x:v>Por hacer</x:v>
      </x:c>
      <x:c r="I15" s="20" t="str">
        <x:v>Autenticación y Portal Profesor</x:v>
      </x:c>
      <x:c r="J15" s="20" t="str">
        <x:v>Un profesor no ve horarios ajenos.</x:v>
      </x:c>
      <x:c r="K15" s="22" t="str"/>
      <x:c r="L15" s="22" t="str"/>
      <x:c r="M15" s="20" t="str"/>
    </x:row>
    <x:row r="16" ht="57" customHeight="1">
      <x:c r="A16" s="21" t="str">
        <x:v>PB-006</x:v>
      </x:c>
      <x:c r="B16" s="20" t="str">
        <x:v>Base de datos</x:v>
      </x:c>
      <x:c r="C16" s="20" t="str">
        <x:v>Modelo de datos académico</x:v>
      </x:c>
      <x:c r="D16" s="20" t="str">
        <x:v>No disponible en la fuente</x:v>
      </x:c>
      <x:c r="E16" s="20" t="str">
        <x:v>Definir relaciones de estructura académica, oferta, docentes, aulas y horarios.</x:v>
      </x:c>
      <x:c r="F16" s="20" t="str">
        <x:v>Alta</x:v>
      </x:c>
      <x:c r="G16" s="20" t="str">
        <x:v>Ambos</x:v>
      </x:c>
      <x:c r="H16" s="20" t="str">
        <x:v>Por hacer</x:v>
      </x:c>
      <x:c r="I16" s="20" t="str">
        <x:v>Reglas académicas validadas</x:v>
      </x:c>
      <x:c r="J16" s="20" t="str">
        <x:v>Relaciones y restricciones reflejan los datos de UniPlan.</x:v>
      </x:c>
      <x:c r="K16" s="22" t="str"/>
      <x:c r="L16" s="22" t="str"/>
      <x:c r="M16" s="20" t="str"/>
    </x:row>
    <x:row r="17" ht="57" customHeight="1">
      <x:c r="A17" s="21" t="str">
        <x:v>PB-007</x:v>
      </x:c>
      <x:c r="B17" s="20" t="str">
        <x:v>Base de datos</x:v>
      </x:c>
      <x:c r="C17" s="20" t="str">
        <x:v>PostgreSQL como base principal</x:v>
      </x:c>
      <x:c r="D17" s="20" t="str">
        <x:v>No disponible en la fuente</x:v>
      </x:c>
      <x:c r="E17" s="20" t="str">
        <x:v>Preparar la persistencia principal en PostgreSQL y migraciones.</x:v>
      </x:c>
      <x:c r="F17" s="20" t="str">
        <x:v>Alta</x:v>
      </x:c>
      <x:c r="G17" s="20" t="str">
        <x:v>Ambos</x:v>
      </x:c>
      <x:c r="H17" s="20" t="str">
        <x:v>En pruebas</x:v>
      </x:c>
      <x:c r="I17" s="20" t="str">
        <x:v>Modelo de datos</x:v>
      </x:c>
      <x:c r="J17" s="20" t="str">
        <x:v>La aplicación funciona con PostgreSQL en el entorno acordado.</x:v>
      </x:c>
      <x:c r="K17" s="22" t="str"/>
      <x:c r="L17" s="22" t="str"/>
      <x:c r="M17" s="20" t="str">
        <x:v>Estado de migración sin evidencia reciente; contrastar con Trello. Seguimiento Kanban: 08-10: PostgreSQL configurado; migraciones en validación. Conciliar estado por ID con Trello.</x:v>
      </x:c>
    </x:row>
    <x:row r="18" ht="57" customHeight="1">
      <x:c r="A18" s="21" t="str">
        <x:v>PB-008</x:v>
      </x:c>
      <x:c r="B18" s="20" t="str">
        <x:v>Base de datos</x:v>
      </x:c>
      <x:c r="C18" s="20" t="str">
        <x:v>Configuración de conexión</x:v>
      </x:c>
      <x:c r="D18" s="20" t="str">
        <x:v>No disponible en la fuente</x:v>
      </x:c>
      <x:c r="E18" s="20" t="str">
        <x:v>Gestionar credenciales y parámetros de base de datos mediante variables de entorno.</x:v>
      </x:c>
      <x:c r="F18" s="20" t="str">
        <x:v>Alta</x:v>
      </x:c>
      <x:c r="G18" s="20" t="str">
        <x:v>Ambos</x:v>
      </x:c>
      <x:c r="H18" s="20" t="str">
        <x:v>Por hacer</x:v>
      </x:c>
      <x:c r="I18" s="20" t="str">
        <x:v>PostgreSQL</x:v>
      </x:c>
      <x:c r="J18" s="20" t="str">
        <x:v>La conexión cambia de entorno sin modificar el código.</x:v>
      </x:c>
      <x:c r="K18" s="22" t="str"/>
      <x:c r="L18" s="22" t="str"/>
      <x:c r="M18" s="20" t="str"/>
    </x:row>
    <x:row r="19" ht="57" customHeight="1">
      <x:c r="A19" s="21" t="str">
        <x:v>PB-009</x:v>
      </x:c>
      <x:c r="B19" s="20" t="str">
        <x:v>Base de datos</x:v>
      </x:c>
      <x:c r="C19" s="20" t="str">
        <x:v>Datos sintéticos coherentes</x:v>
      </x:c>
      <x:c r="D19" s="20" t="str">
        <x:v>No disponible en la fuente</x:v>
      </x:c>
      <x:c r="E19" s="20" t="str">
        <x:v>Preparar datos de prueba sin información sensible de la institución.</x:v>
      </x:c>
      <x:c r="F19" s="20" t="str">
        <x:v>Alta</x:v>
      </x:c>
      <x:c r="G19" s="20" t="str">
        <x:v>Ambos</x:v>
      </x:c>
      <x:c r="H19" s="20" t="str">
        <x:v>Por hacer</x:v>
      </x:c>
      <x:c r="I19" s="20" t="str">
        <x:v>Modelo de datos</x:v>
      </x:c>
      <x:c r="J19" s="20" t="str">
        <x:v>Los casos de prueba representan contextos, docentes y horarios válidos.</x:v>
      </x:c>
      <x:c r="K19" s="22" t="str"/>
      <x:c r="L19" s="22" t="str"/>
      <x:c r="M19" s="20" t="str"/>
    </x:row>
    <x:row r="20" ht="57" customHeight="1">
      <x:c r="A20" s="21" t="str">
        <x:v>PB-010</x:v>
      </x:c>
      <x:c r="B20" s="20" t="str">
        <x:v>Administración académica</x:v>
      </x:c>
      <x:c r="C20" s="20" t="str">
        <x:v>Centros Tutoriales y Sedes</x:v>
      </x:c>
      <x:c r="D20" s="20" t="str">
        <x:v>HU-04</x:v>
      </x:c>
      <x:c r="E20" s="20" t="str">
        <x:v>Mantener Centros Tutoriales y las Sedes asociadas.</x:v>
      </x:c>
      <x:c r="F20" s="20" t="str">
        <x:v>Alta</x:v>
      </x:c>
      <x:c r="G20" s="20" t="str">
        <x:v>Ambos</x:v>
      </x:c>
      <x:c r="H20" s="20" t="str">
        <x:v>En pruebas</x:v>
      </x:c>
      <x:c r="I20" s="20" t="str">
        <x:v>Modelo de datos académico</x:v>
      </x:c>
      <x:c r="J20" s="20" t="str">
        <x:v>Se registran, consultan y actualizan niveles correctamente relacionados.</x:v>
      </x:c>
      <x:c r="K20" s="22" t="str"/>
      <x:c r="L20" s="22" t="str"/>
      <x:c r="M20" s="20" t="str">
        <x:v>Seguimiento Kanban: 28-09: revisión de mantenedores y vínculos de estructura. Conciliar estado por ID con Trello.</x:v>
      </x:c>
    </x:row>
    <x:row r="21" ht="57" customHeight="1">
      <x:c r="A21" s="21" t="str">
        <x:v>PB-011</x:v>
      </x:c>
      <x:c r="B21" s="20" t="str">
        <x:v>Administración académica</x:v>
      </x:c>
      <x:c r="C21" s="20" t="str">
        <x:v>Facultades y Programas Académicos</x:v>
      </x:c>
      <x:c r="D21" s="20" t="str">
        <x:v>HU-04</x:v>
      </x:c>
      <x:c r="E21" s="20" t="str">
        <x:v>Mantener Facultades y Programas Académicos vinculados a su estructura.</x:v>
      </x:c>
      <x:c r="F21" s="20" t="str">
        <x:v>Alta</x:v>
      </x:c>
      <x:c r="G21" s="20" t="str">
        <x:v>Ambos</x:v>
      </x:c>
      <x:c r="H21" s="20" t="str">
        <x:v>En pruebas</x:v>
      </x:c>
      <x:c r="I21" s="20" t="str">
        <x:v>Centros Tutoriales y Sedes</x:v>
      </x:c>
      <x:c r="J21" s="20" t="str">
        <x:v>Los Programas se consultan según la Facultad elegida.</x:v>
      </x:c>
      <x:c r="K21" s="22" t="str"/>
      <x:c r="L21" s="22" t="str"/>
      <x:c r="M21" s="20" t="str">
        <x:v>Seguimiento Kanban: 28-09: comprobación de Centro, Sede, Facultad y Programa. Conciliar estado por ID con Trello.</x:v>
      </x:c>
    </x:row>
    <x:row r="22" ht="57" customHeight="1">
      <x:c r="A22" s="21" t="str">
        <x:v>PB-012</x:v>
      </x:c>
      <x:c r="B22" s="20" t="str">
        <x:v>Administración académica</x:v>
      </x:c>
      <x:c r="C22" s="20" t="str">
        <x:v>Periodos Académicos y Semestres</x:v>
      </x:c>
      <x:c r="D22" s="20" t="str">
        <x:v>HU-04</x:v>
      </x:c>
      <x:c r="E22" s="20" t="str">
        <x:v>Mantener Periodos Académicos y Semestres para la planificación.</x:v>
      </x:c>
      <x:c r="F22" s="20" t="str">
        <x:v>Alta</x:v>
      </x:c>
      <x:c r="G22" s="20" t="str">
        <x:v>Ambos</x:v>
      </x:c>
      <x:c r="H22" s="20" t="str">
        <x:v>Por hacer</x:v>
      </x:c>
      <x:c r="I22" s="20" t="str">
        <x:v>Modelo de datos académico</x:v>
      </x:c>
      <x:c r="J22" s="20" t="str">
        <x:v>Los semestres disponibles corresponden al periodo seleccionado.</x:v>
      </x:c>
      <x:c r="K22" s="22" t="str"/>
      <x:c r="L22" s="22" t="str"/>
      <x:c r="M22" s="20" t="str"/>
    </x:row>
    <x:row r="23" ht="57" customHeight="1">
      <x:c r="A23" s="21" t="str">
        <x:v>PB-013</x:v>
      </x:c>
      <x:c r="B23" s="20" t="str">
        <x:v>Administración académica</x:v>
      </x:c>
      <x:c r="C23" s="20" t="str">
        <x:v>Modalidades y Áreas Académicas</x:v>
      </x:c>
      <x:c r="D23" s="20" t="str">
        <x:v>HU-05</x:v>
      </x:c>
      <x:c r="E23" s="20" t="str">
        <x:v>Mantener propiedades curriculares para la oferta académica.</x:v>
      </x:c>
      <x:c r="F23" s="20" t="str">
        <x:v>Alta</x:v>
      </x:c>
      <x:c r="G23" s="20" t="str">
        <x:v>Ambos</x:v>
      </x:c>
      <x:c r="H23" s="20" t="str">
        <x:v>Por hacer</x:v>
      </x:c>
      <x:c r="I23" s="20" t="str">
        <x:v>Modelo de datos académico</x:v>
      </x:c>
      <x:c r="J23" s="20" t="str">
        <x:v>Modalidad y Área se registran sin actuar como filtros superiores.</x:v>
      </x:c>
      <x:c r="K23" s="22" t="str"/>
      <x:c r="L23" s="22" t="str"/>
      <x:c r="M23" s="20" t="str"/>
    </x:row>
    <x:row r="24" ht="57" customHeight="1">
      <x:c r="A24" s="21" t="str">
        <x:v>PB-014</x:v>
      </x:c>
      <x:c r="B24" s="20" t="str">
        <x:v>Administración académica</x:v>
      </x:c>
      <x:c r="C24" s="20" t="str">
        <x:v>Asignaturas y Planes de Estudio</x:v>
      </x:c>
      <x:c r="D24" s="20" t="str">
        <x:v>HU-05</x:v>
      </x:c>
      <x:c r="E24" s="20" t="str">
        <x:v>Relacionar asignaturas con planes y semestres.</x:v>
      </x:c>
      <x:c r="F24" s="20" t="str">
        <x:v>Alta</x:v>
      </x:c>
      <x:c r="G24" s="20" t="str">
        <x:v>Ambos</x:v>
      </x:c>
      <x:c r="H24" s="20" t="str">
        <x:v>Por hacer</x:v>
      </x:c>
      <x:c r="I24" s="20" t="str">
        <x:v>Programas y Semestres</x:v>
      </x:c>
      <x:c r="J24" s="20" t="str">
        <x:v>La oferta del semestre contiene las asignaturas correspondientes.</x:v>
      </x:c>
      <x:c r="K24" s="22" t="str"/>
      <x:c r="L24" s="22" t="str"/>
      <x:c r="M24" s="20" t="str"/>
    </x:row>
    <x:row r="25" ht="57" customHeight="1">
      <x:c r="A25" s="21" t="str">
        <x:v>PB-015</x:v>
      </x:c>
      <x:c r="B25" s="20" t="str">
        <x:v>Administración académica</x:v>
      </x:c>
      <x:c r="C25" s="20" t="str">
        <x:v>Profesores</x:v>
      </x:c>
      <x:c r="D25" s="20" t="str">
        <x:v>HU-06</x:v>
      </x:c>
      <x:c r="E25" s="20" t="str">
        <x:v>Mantener información docente requerida por la planificación.</x:v>
      </x:c>
      <x:c r="F25" s="20" t="str">
        <x:v>Alta</x:v>
      </x:c>
      <x:c r="G25" s="20" t="str">
        <x:v>Ambos</x:v>
      </x:c>
      <x:c r="H25" s="20" t="str">
        <x:v>Por hacer</x:v>
      </x:c>
      <x:c r="I25" s="20" t="str">
        <x:v>Modelo de datos académico</x:v>
      </x:c>
      <x:c r="J25" s="20" t="str">
        <x:v>El profesor queda disponible para consultas y asignaciones válidas.</x:v>
      </x:c>
      <x:c r="K25" s="22" t="str"/>
      <x:c r="L25" s="22" t="str"/>
      <x:c r="M25" s="20" t="str"/>
    </x:row>
    <x:row r="26" ht="57" customHeight="1">
      <x:c r="A26" s="21" t="str">
        <x:v>PB-016</x:v>
      </x:c>
      <x:c r="B26" s="20" t="str">
        <x:v>Administración académica</x:v>
      </x:c>
      <x:c r="C26" s="20" t="str">
        <x:v>Aulas y Grupos</x:v>
      </x:c>
      <x:c r="D26" s="20" t="str">
        <x:v>HU-07</x:v>
      </x:c>
      <x:c r="E26" s="20" t="str">
        <x:v>Mantener aulas con Sede y grupos dentro de la oferta académica.</x:v>
      </x:c>
      <x:c r="F26" s="20" t="str">
        <x:v>Alta</x:v>
      </x:c>
      <x:c r="G26" s="20" t="str">
        <x:v>Ambos</x:v>
      </x:c>
      <x:c r="H26" s="20" t="str">
        <x:v>Por hacer</x:v>
      </x:c>
      <x:c r="I26" s="20" t="str">
        <x:v>Sedes y asignaturas</x:v>
      </x:c>
      <x:c r="J26" s="20" t="str">
        <x:v>Aulas y grupos se consultan en su contexto correcto.</x:v>
      </x:c>
      <x:c r="K26" s="22" t="str"/>
      <x:c r="L26" s="22" t="str"/>
      <x:c r="M26" s="20" t="str"/>
    </x:row>
    <x:row r="27" ht="57" customHeight="1">
      <x:c r="A27" s="21" t="str">
        <x:v>PB-017</x:v>
      </x:c>
      <x:c r="B27" s="20" t="str">
        <x:v>Docencia</x:v>
      </x:c>
      <x:c r="C27" s="20" t="str">
        <x:v>Disponibilidad docente</x:v>
      </x:c>
      <x:c r="D27" s="20" t="str">
        <x:v>HU-06, HU-18</x:v>
      </x:c>
      <x:c r="E27" s="20" t="str">
        <x:v>Registrar días y tramos habilitados por profesor.</x:v>
      </x:c>
      <x:c r="F27" s="20" t="str">
        <x:v>Alta</x:v>
      </x:c>
      <x:c r="G27" s="20" t="str">
        <x:v>Ambos</x:v>
      </x:c>
      <x:c r="H27" s="20" t="str">
        <x:v>En pruebas</x:v>
      </x:c>
      <x:c r="I27" s="20" t="str">
        <x:v>Profesores y Periodos Académicos</x:v>
      </x:c>
      <x:c r="J27" s="20" t="str">
        <x:v>La disponibilidad se consulta y usa en validaciones.</x:v>
      </x:c>
      <x:c r="K27" s="22" t="str"/>
      <x:c r="L27" s="22" t="str"/>
      <x:c r="M27" s="20" t="str">
        <x:v>Seguimiento Kanban: 10-10: disponibilidad incorporada; pruebas de cobertura. Conciliar estado por ID con Trello.</x:v>
      </x:c>
    </x:row>
    <x:row r="28" ht="57" customHeight="1">
      <x:c r="A28" s="21" t="str">
        <x:v>PB-018</x:v>
      </x:c>
      <x:c r="B28" s="20" t="str">
        <x:v>Docencia</x:v>
      </x:c>
      <x:c r="C28" s="20" t="str">
        <x:v>Carga docente</x:v>
      </x:c>
      <x:c r="D28" s="20" t="str">
        <x:v>HU-06, HU-18</x:v>
      </x:c>
      <x:c r="E28" s="20" t="str">
        <x:v>Registrar horas asignables por profesor en el periodo.</x:v>
      </x:c>
      <x:c r="F28" s="20" t="str">
        <x:v>Alta</x:v>
      </x:c>
      <x:c r="G28" s="20" t="str">
        <x:v>Ambos</x:v>
      </x:c>
      <x:c r="H28" s="20" t="str">
        <x:v>En pruebas</x:v>
      </x:c>
      <x:c r="I28" s="20" t="str">
        <x:v>Profesores y Periodos Académicos</x:v>
      </x:c>
      <x:c r="J28" s="20" t="str">
        <x:v>El límite de carga se consulta y usa en validaciones.</x:v>
      </x:c>
      <x:c r="K28" s="22" t="str"/>
      <x:c r="L28" s="22" t="str"/>
      <x:c r="M28" s="20" t="str">
        <x:v>Seguimiento Kanban: 10-10: carga incorporada; pruebas de límite. Conciliar estado por ID con Trello.</x:v>
      </x:c>
    </x:row>
    <x:row r="29" ht="57" customHeight="1">
      <x:c r="A29" s="21" t="str">
        <x:v>PB-019</x:v>
      </x:c>
      <x:c r="B29" s="20" t="str">
        <x:v>Docencia</x:v>
      </x:c>
      <x:c r="C29" s="20" t="str">
        <x:v>Horas planificadas y pendientes</x:v>
      </x:c>
      <x:c r="D29" s="20" t="str">
        <x:v>HU-06, HU-10</x:v>
      </x:c>
      <x:c r="E29" s="20" t="str">
        <x:v>Calcular el avance horario a partir de carga y clases registradas.</x:v>
      </x:c>
      <x:c r="F29" s="20" t="str">
        <x:v>Alta</x:v>
      </x:c>
      <x:c r="G29" s="20" t="str">
        <x:v>Ambos</x:v>
      </x:c>
      <x:c r="H29" s="20" t="str">
        <x:v>Por hacer</x:v>
      </x:c>
      <x:c r="I29" s="20" t="str">
        <x:v>Carga docente y horarios</x:v>
      </x:c>
      <x:c r="J29" s="20" t="str">
        <x:v>Los totales se actualizan al crear, modificar o eliminar clases.</x:v>
      </x:c>
      <x:c r="K29" s="22" t="str"/>
      <x:c r="L29" s="22" t="str"/>
      <x:c r="M29" s="20" t="str"/>
    </x:row>
    <x:row r="30" ht="57" customHeight="1">
      <x:c r="A30" s="21" t="str">
        <x:v>PB-020</x:v>
      </x:c>
      <x:c r="B30" s="20" t="str">
        <x:v>Planificación</x:v>
      </x:c>
      <x:c r="C30" s="20" t="str">
        <x:v>Contexto académico y semestre</x:v>
      </x:c>
      <x:c r="D30" s="20" t="str">
        <x:v>HU-08</x:v>
      </x:c>
      <x:c r="E30" s="20" t="str">
        <x:v>Seleccionar Centro Tutorial, Sede, Facultad, Programa, Periodo y Semestre.</x:v>
      </x:c>
      <x:c r="F30" s="20" t="str">
        <x:v>Alta</x:v>
      </x:c>
      <x:c r="G30" s="20" t="str">
        <x:v>Ambos</x:v>
      </x:c>
      <x:c r="H30" s="20" t="str">
        <x:v>Por hacer</x:v>
      </x:c>
      <x:c r="I30" s="20" t="str">
        <x:v>Mantenedores académicos</x:v>
      </x:c>
      <x:c r="J30" s="20" t="str">
        <x:v>El calendario carga solo el contexto seleccionado.</x:v>
      </x:c>
      <x:c r="K30" s="22" t="str"/>
      <x:c r="L30" s="22" t="str"/>
      <x:c r="M30" s="20" t="str"/>
    </x:row>
    <x:row r="31" ht="57" customHeight="1">
      <x:c r="A31" s="21" t="str">
        <x:v>PB-021</x:v>
      </x:c>
      <x:c r="B31" s="20" t="str">
        <x:v>Planificación</x:v>
      </x:c>
      <x:c r="C31" s="20" t="str">
        <x:v>Oferta del semestre y profesores</x:v>
      </x:c>
      <x:c r="D31" s="20" t="str">
        <x:v>HU-09</x:v>
      </x:c>
      <x:c r="E31" s="20" t="str">
        <x:v>Consultar asignaturas, grupos y profesores para impartirlas.</x:v>
      </x:c>
      <x:c r="F31" s="20" t="str">
        <x:v>Alta</x:v>
      </x:c>
      <x:c r="G31" s="20" t="str">
        <x:v>Ambos</x:v>
      </x:c>
      <x:c r="H31" s="20" t="str">
        <x:v>Por hacer</x:v>
      </x:c>
      <x:c r="I31" s="20" t="str">
        <x:v>Planes, grupos, profesores y contexto</x:v>
      </x:c>
      <x:c r="J31" s="20" t="str">
        <x:v>La selección propone únicamente combinaciones de la oferta.</x:v>
      </x:c>
      <x:c r="K31" s="22" t="str"/>
      <x:c r="L31" s="22" t="str"/>
      <x:c r="M31" s="20" t="str"/>
    </x:row>
    <x:row r="32" ht="57" customHeight="1">
      <x:c r="A32" s="21" t="str">
        <x:v>PB-022</x:v>
      </x:c>
      <x:c r="B32" s="20" t="str">
        <x:v>Planificación</x:v>
      </x:c>
      <x:c r="C32" s="20" t="str">
        <x:v>Calendario interactivo FullCalendar</x:v>
      </x:c>
      <x:c r="D32" s="20" t="str">
        <x:v>HU-10</x:v>
      </x:c>
      <x:c r="E32" s="20" t="str">
        <x:v>Presentar las clases del contexto en un calendario visual.</x:v>
      </x:c>
      <x:c r="F32" s="20" t="str">
        <x:v>Alta</x:v>
      </x:c>
      <x:c r="G32" s="20" t="str">
        <x:v>Ambos</x:v>
      </x:c>
      <x:c r="H32" s="20" t="str">
        <x:v>En pruebas</x:v>
      </x:c>
      <x:c r="I32" s="20" t="str">
        <x:v>Contexto académico y horarios</x:v>
      </x:c>
      <x:c r="J32" s="20" t="str">
        <x:v>Las clases registradas se muestran en el tramo correcto.</x:v>
      </x:c>
      <x:c r="K32" s="22" t="str"/>
      <x:c r="L32" s="22" t="str"/>
      <x:c r="M32" s="20" t="str">
        <x:v>Seguimiento Kanban: 13-10: FullCalendar integrado; pruebas del calendario. Conciliar estado por ID con Trello.</x:v>
      </x:c>
    </x:row>
    <x:row r="33" ht="57" customHeight="1">
      <x:c r="A33" s="21" t="str">
        <x:v>PB-023</x:v>
      </x:c>
      <x:c r="B33" s="20" t="str">
        <x:v>Planificación</x:v>
      </x:c>
      <x:c r="C33" s="20" t="str">
        <x:v>Crear clase con arrastre</x:v>
      </x:c>
      <x:c r="D33" s="20" t="str">
        <x:v>HU-11</x:v>
      </x:c>
      <x:c r="E33" s="20" t="str">
        <x:v>Arrastrar oferta y profesor hacia un tramo del calendario.</x:v>
      </x:c>
      <x:c r="F33" s="20" t="str">
        <x:v>Alta</x:v>
      </x:c>
      <x:c r="G33" s="20" t="str">
        <x:v>Ambos</x:v>
      </x:c>
      <x:c r="H33" s="20" t="str">
        <x:v>En pruebas</x:v>
      </x:c>
      <x:c r="I33" s="20" t="str">
        <x:v>Calendario, oferta y validaciones</x:v>
      </x:c>
      <x:c r="J33" s="20" t="str">
        <x:v>Se guarda una clase válida con duración inicial de una hora.</x:v>
      </x:c>
      <x:c r="K33" s="22" t="str"/>
      <x:c r="L33" s="22" t="str"/>
      <x:c r="M33" s="20" t="str">
        <x:v>Seguimiento Kanban: 13-10: arrastre integrado; pruebas de planificación. Conciliar estado por ID con Trello.</x:v>
      </x:c>
    </x:row>
    <x:row r="34" ht="57" customHeight="1">
      <x:c r="A34" s="21" t="str">
        <x:v>PB-024</x:v>
      </x:c>
      <x:c r="B34" s="20" t="str">
        <x:v>Planificación</x:v>
      </x:c>
      <x:c r="C34" s="20" t="str">
        <x:v>Aula pendiente y Sede obligatoria</x:v>
      </x:c>
      <x:c r="D34" s="20" t="str">
        <x:v>HU-11</x:v>
      </x:c>
      <x:c r="E34" s="20" t="str">
        <x:v>Permitir creación sin aula, manteniendo siempre una Sede.</x:v>
      </x:c>
      <x:c r="F34" s="20" t="str">
        <x:v>Alta</x:v>
      </x:c>
      <x:c r="G34" s="20" t="str">
        <x:v>Ambos</x:v>
      </x:c>
      <x:c r="H34" s="20" t="str">
        <x:v>En pruebas</x:v>
      </x:c>
      <x:c r="I34" s="20" t="str">
        <x:v>Crear clase con arrastre</x:v>
      </x:c>
      <x:c r="J34" s="20" t="str">
        <x:v>El horario muestra Aula pendiente cuando corresponde.</x:v>
      </x:c>
      <x:c r="K34" s="22" t="str"/>
      <x:c r="L34" s="22" t="str"/>
      <x:c r="M34" s="20" t="str">
        <x:v>Seguimiento Kanban: 13-10: Aula pendiente en pruebas. Conciliar estado por ID con Trello.</x:v>
      </x:c>
    </x:row>
    <x:row r="35" ht="57" customHeight="1">
      <x:c r="A35" s="21" t="str">
        <x:v>PB-025</x:v>
      </x:c>
      <x:c r="B35" s="20" t="str">
        <x:v>Planificación</x:v>
      </x:c>
      <x:c r="C35" s="20" t="str">
        <x:v>Asignar o cambiar aula</x:v>
      </x:c>
      <x:c r="D35" s="20" t="str">
        <x:v>HU-12</x:v>
      </x:c>
      <x:c r="E35" s="20" t="str">
        <x:v>Seleccionar o reemplazar un aula para una clase.</x:v>
      </x:c>
      <x:c r="F35" s="20" t="str">
        <x:v>Alta</x:v>
      </x:c>
      <x:c r="G35" s="20" t="str">
        <x:v>Ambos</x:v>
      </x:c>
      <x:c r="H35" s="20" t="str">
        <x:v>Por hacer</x:v>
      </x:c>
      <x:c r="I35" s="20" t="str">
        <x:v>Aulas y validaciones</x:v>
      </x:c>
      <x:c r="J35" s="20" t="str">
        <x:v>Se guarda solo un aula compatible y libre.</x:v>
      </x:c>
      <x:c r="K35" s="22" t="str"/>
      <x:c r="L35" s="22" t="str"/>
      <x:c r="M35" s="20" t="str"/>
    </x:row>
    <x:row r="36" ht="57" customHeight="1">
      <x:c r="A36" s="21" t="str">
        <x:v>PB-026</x:v>
      </x:c>
      <x:c r="B36" s="20" t="str">
        <x:v>Planificación</x:v>
      </x:c>
      <x:c r="C36" s="20" t="str">
        <x:v>Mover clase en el calendario</x:v>
      </x:c>
      <x:c r="D36" s="20" t="str">
        <x:v>HU-13</x:v>
      </x:c>
      <x:c r="E36" s="20" t="str">
        <x:v>Cambiar día u hora mediante arrastre y confirmación.</x:v>
      </x:c>
      <x:c r="F36" s="20" t="str">
        <x:v>Alta</x:v>
      </x:c>
      <x:c r="G36" s="20" t="str">
        <x:v>Ambos</x:v>
      </x:c>
      <x:c r="H36" s="20" t="str">
        <x:v>En pruebas</x:v>
      </x:c>
      <x:c r="I36" s="20" t="str">
        <x:v>Calendario y validaciones</x:v>
      </x:c>
      <x:c r="J36" s="20" t="str">
        <x:v>El horario se actualiza solo tras validación y confirmación.</x:v>
      </x:c>
      <x:c r="K36" s="22" t="str"/>
      <x:c r="L36" s="22" t="str"/>
      <x:c r="M36" s="20" t="str">
        <x:v>Seguimiento Kanban: 13-10: movimiento integrado; pruebas de calendario. Conciliar estado por ID con Trello.</x:v>
      </x:c>
    </x:row>
    <x:row r="37" ht="57" customHeight="1">
      <x:c r="A37" s="21" t="str">
        <x:v>PB-027</x:v>
      </x:c>
      <x:c r="B37" s="20" t="str">
        <x:v>Planificación</x:v>
      </x:c>
      <x:c r="C37" s="20" t="str">
        <x:v>Redimensionar clase</x:v>
      </x:c>
      <x:c r="D37" s="20" t="str">
        <x:v>HU-14</x:v>
      </x:c>
      <x:c r="E37" s="20" t="str">
        <x:v>Modificar duración visualmente y recalcular las horas.</x:v>
      </x:c>
      <x:c r="F37" s="20" t="str">
        <x:v>Alta</x:v>
      </x:c>
      <x:c r="G37" s="20" t="str">
        <x:v>Ambos</x:v>
      </x:c>
      <x:c r="H37" s="20" t="str">
        <x:v>En pruebas</x:v>
      </x:c>
      <x:c r="I37" s="20" t="str">
        <x:v>Calendario y validaciones</x:v>
      </x:c>
      <x:c r="J37" s="20" t="str">
        <x:v>La nueva duración válida actualiza carga y calendario.</x:v>
      </x:c>
      <x:c r="K37" s="22" t="str"/>
      <x:c r="L37" s="22" t="str"/>
      <x:c r="M37" s="20" t="str">
        <x:v>Seguimiento Kanban: 13-10: cambio de duración integrado; pruebas. Conciliar estado por ID con Trello.</x:v>
      </x:c>
    </x:row>
    <x:row r="38" ht="57" customHeight="1">
      <x:c r="A38" s="21" t="str">
        <x:v>PB-028</x:v>
      </x:c>
      <x:c r="B38" s="20" t="str">
        <x:v>Planificación</x:v>
      </x:c>
      <x:c r="C38" s="20" t="str">
        <x:v>Eliminar clase con confirmación</x:v>
      </x:c>
      <x:c r="D38" s="20" t="str">
        <x:v>HU-15</x:v>
      </x:c>
      <x:c r="E38" s="20" t="str">
        <x:v>Solicitar confirmación para retirar una clase.</x:v>
      </x:c>
      <x:c r="F38" s="20" t="str">
        <x:v>Alta</x:v>
      </x:c>
      <x:c r="G38" s="20" t="str">
        <x:v>Ambos</x:v>
      </x:c>
      <x:c r="H38" s="20" t="str">
        <x:v>Por hacer</x:v>
      </x:c>
      <x:c r="I38" s="20" t="str">
        <x:v>Calendario y permisos</x:v>
      </x:c>
      <x:c r="J38" s="20" t="str">
        <x:v>La cancelación conserva datos; la confirmación actualiza los totales.</x:v>
      </x:c>
      <x:c r="K38" s="22" t="str"/>
      <x:c r="L38" s="22" t="str"/>
      <x:c r="M38" s="20" t="str"/>
    </x:row>
    <x:row r="39" ht="57" customHeight="1">
      <x:c r="A39" s="21" t="str">
        <x:v>PB-029</x:v>
      </x:c>
      <x:c r="B39" s="20" t="str">
        <x:v>Planificación</x:v>
      </x:c>
      <x:c r="C39" s="20" t="str">
        <x:v>Ocupaciones en otros contextos</x:v>
      </x:c>
      <x:c r="D39" s="20" t="str">
        <x:v>HU-10</x:v>
      </x:c>
      <x:c r="E39" s="20" t="str">
        <x:v>Mostrar al planificador clases del profesor en otras Sedes o Programas.</x:v>
      </x:c>
      <x:c r="F39" s="20" t="str">
        <x:v>Alta</x:v>
      </x:c>
      <x:c r="G39" s="20" t="str">
        <x:v>Ambos</x:v>
      </x:c>
      <x:c r="H39" s="20" t="str">
        <x:v>En pruebas</x:v>
      </x:c>
      <x:c r="I39" s="20" t="str">
        <x:v>Consulta global del profesor</x:v>
      </x:c>
      <x:c r="J39" s="20" t="str">
        <x:v>Se identifican tramos ocupados del mismo Periodo Académico.</x:v>
      </x:c>
      <x:c r="K39" s="22" t="str"/>
      <x:c r="L39" s="22" t="str"/>
      <x:c r="M39" s="20" t="str">
        <x:v>Seguimiento Kanban: 13-10: ocupaciones en otros contextos en pruebas. Conciliar estado por ID con Trello.</x:v>
      </x:c>
    </x:row>
    <x:row r="40" ht="57" customHeight="1">
      <x:c r="A40" s="21" t="str">
        <x:v>PB-030</x:v>
      </x:c>
      <x:c r="B40" s="20" t="str">
        <x:v>Planificación</x:v>
      </x:c>
      <x:c r="C40" s="20" t="str">
        <x:v>Zonas visuales sin disponibilidad</x:v>
      </x:c>
      <x:c r="D40" s="20" t="str">
        <x:v>HU-18</x:v>
      </x:c>
      <x:c r="E40" s="20" t="str">
        <x:v>Señalar tramos no disponibles durante el arrastre.</x:v>
      </x:c>
      <x:c r="F40" s="20" t="str">
        <x:v>Alta</x:v>
      </x:c>
      <x:c r="G40" s="20" t="str">
        <x:v>Ambos</x:v>
      </x:c>
      <x:c r="H40" s="20" t="str">
        <x:v>En pruebas</x:v>
      </x:c>
      <x:c r="I40" s="20" t="str">
        <x:v>Disponibilidad y calendario</x:v>
      </x:c>
      <x:c r="J40" s="20" t="str">
        <x:v>El usuario identifica visualmente los tramos no habilitados.</x:v>
      </x:c>
      <x:c r="K40" s="22" t="str"/>
      <x:c r="L40" s="22" t="str"/>
      <x:c r="M40" s="20" t="str">
        <x:v>Seguimiento Kanban: 13-10: zonas no disponibles en pruebas. Conciliar estado por ID con Trello.</x:v>
      </x:c>
    </x:row>
    <x:row r="41" ht="57" customHeight="1">
      <x:c r="A41" s="21" t="str">
        <x:v>PB-031</x:v>
      </x:c>
      <x:c r="B41" s="20" t="str">
        <x:v>Validaciones</x:v>
      </x:c>
      <x:c r="C41" s="20" t="str">
        <x:v>Conflicto global de profesor</x:v>
      </x:c>
      <x:c r="D41" s="20" t="str">
        <x:v>HU-16</x:v>
      </x:c>
      <x:c r="E41" s="20" t="str">
        <x:v>Comprobar cruces del profesor en todo el Periodo Académico.</x:v>
      </x:c>
      <x:c r="F41" s="20" t="str">
        <x:v>Alta</x:v>
      </x:c>
      <x:c r="G41" s="20" t="str">
        <x:v>Ambos</x:v>
      </x:c>
      <x:c r="H41" s="20" t="str">
        <x:v>En pruebas</x:v>
      </x:c>
      <x:c r="I41" s="20" t="str">
        <x:v>Horarios y Periodo Académico</x:v>
      </x:c>
      <x:c r="J41" s="20" t="str">
        <x:v>Se rechaza un cruce incluso entre distintas Sedes o Programas.</x:v>
      </x:c>
      <x:c r="K41" s="22" t="str"/>
      <x:c r="L41" s="22" t="str"/>
      <x:c r="M41" s="20" t="str">
        <x:v>Seguimiento Kanban: 01-10: reglas de conflicto de profesor en pruebas. Conciliar estado por ID con Trello.</x:v>
      </x:c>
    </x:row>
    <x:row r="42" ht="57" customHeight="1">
      <x:c r="A42" s="21" t="str">
        <x:v>PB-032</x:v>
      </x:c>
      <x:c r="B42" s="20" t="str">
        <x:v>Validaciones</x:v>
      </x:c>
      <x:c r="C42" s="20" t="str">
        <x:v>Conflicto de grupo</x:v>
      </x:c>
      <x:c r="D42" s="20" t="str">
        <x:v>HU-17</x:v>
      </x:c>
      <x:c r="E42" s="20" t="str">
        <x:v>Evitar clases simultáneas para el mismo grupo.</x:v>
      </x:c>
      <x:c r="F42" s="20" t="str">
        <x:v>Alta</x:v>
      </x:c>
      <x:c r="G42" s="20" t="str">
        <x:v>Ambos</x:v>
      </x:c>
      <x:c r="H42" s="20" t="str">
        <x:v>En pruebas</x:v>
      </x:c>
      <x:c r="I42" s="20" t="str">
        <x:v>Grupos y horarios</x:v>
      </x:c>
      <x:c r="J42" s="20" t="str">
        <x:v>Una propuesta superpuesta se rechaza sin cambios.</x:v>
      </x:c>
      <x:c r="K42" s="22" t="str"/>
      <x:c r="L42" s="22" t="str"/>
      <x:c r="M42" s="20" t="str">
        <x:v>Seguimiento Kanban: 01-10: reglas de conflicto de grupo en pruebas. Conciliar estado por ID con Trello.</x:v>
      </x:c>
    </x:row>
    <x:row r="43" ht="57" customHeight="1">
      <x:c r="A43" s="21" t="str">
        <x:v>PB-033</x:v>
      </x:c>
      <x:c r="B43" s="20" t="str">
        <x:v>Validaciones</x:v>
      </x:c>
      <x:c r="C43" s="20" t="str">
        <x:v>Conflicto de aula</x:v>
      </x:c>
      <x:c r="D43" s="20" t="str">
        <x:v>HU-17</x:v>
      </x:c>
      <x:c r="E43" s="20" t="str">
        <x:v>Evitar ocupación simultánea de la misma aula.</x:v>
      </x:c>
      <x:c r="F43" s="20" t="str">
        <x:v>Alta</x:v>
      </x:c>
      <x:c r="G43" s="20" t="str">
        <x:v>Ambos</x:v>
      </x:c>
      <x:c r="H43" s="20" t="str">
        <x:v>En pruebas</x:v>
      </x:c>
      <x:c r="I43" s="20" t="str">
        <x:v>Aulas y horarios</x:v>
      </x:c>
      <x:c r="J43" s="20" t="str">
        <x:v>La operación informa el cruce y conserva el horario previo.</x:v>
      </x:c>
      <x:c r="K43" s="22" t="str"/>
      <x:c r="L43" s="22" t="str"/>
      <x:c r="M43" s="20" t="str">
        <x:v>Seguimiento Kanban: 01-10: reglas de conflicto de aula en pruebas. Conciliar estado por ID con Trello.</x:v>
      </x:c>
    </x:row>
    <x:row r="44" ht="57" customHeight="1">
      <x:c r="A44" s="21" t="str">
        <x:v>PB-034</x:v>
      </x:c>
      <x:c r="B44" s="20" t="str">
        <x:v>Validaciones</x:v>
      </x:c>
      <x:c r="C44" s="20" t="str">
        <x:v>Consistencia Sede y Aula</x:v>
      </x:c>
      <x:c r="D44" s="20" t="str">
        <x:v>HU-17</x:v>
      </x:c>
      <x:c r="E44" s="20" t="str">
        <x:v>Impedir que una clase use un aula perteneciente a otra Sede.</x:v>
      </x:c>
      <x:c r="F44" s="20" t="str">
        <x:v>Alta</x:v>
      </x:c>
      <x:c r="G44" s="20" t="str">
        <x:v>Ambos</x:v>
      </x:c>
      <x:c r="H44" s="20" t="str">
        <x:v>En pruebas</x:v>
      </x:c>
      <x:c r="I44" s="20" t="str">
        <x:v>Sedes y aulas</x:v>
      </x:c>
      <x:c r="J44" s="20" t="str">
        <x:v>Solo se asignan aulas de la Sede de la clase.</x:v>
      </x:c>
      <x:c r="K44" s="22" t="str"/>
      <x:c r="L44" s="22" t="str"/>
      <x:c r="M44" s="20" t="str">
        <x:v>Seguimiento Kanban: 01-10: consistencia Sede/Aula en pruebas. Conciliar estado por ID con Trello.</x:v>
      </x:c>
    </x:row>
    <x:row r="45" ht="57" customHeight="1">
      <x:c r="A45" s="21" t="str">
        <x:v>PB-035</x:v>
      </x:c>
      <x:c r="B45" s="20" t="str">
        <x:v>Validaciones</x:v>
      </x:c>
      <x:c r="C45" s="20" t="str">
        <x:v>Cobertura de disponibilidad</x:v>
      </x:c>
      <x:c r="D45" s="20" t="str">
        <x:v>HU-18</x:v>
      </x:c>
      <x:c r="E45" s="20" t="str">
        <x:v>Comprobar disponibilidad docente en todo el tramo propuesto.</x:v>
      </x:c>
      <x:c r="F45" s="20" t="str">
        <x:v>Alta</x:v>
      </x:c>
      <x:c r="G45" s="20" t="str">
        <x:v>Ambos</x:v>
      </x:c>
      <x:c r="H45" s="20" t="str">
        <x:v>En pruebas</x:v>
      </x:c>
      <x:c r="I45" s="20" t="str">
        <x:v>Disponibilidad docente</x:v>
      </x:c>
      <x:c r="J45" s="20" t="str">
        <x:v>Se rechaza una clase fuera de los tramos habilitados.</x:v>
      </x:c>
      <x:c r="K45" s="22" t="str"/>
      <x:c r="L45" s="22" t="str"/>
      <x:c r="M45" s="20" t="str">
        <x:v>Seguimiento Kanban: 10-10: cobertura de disponibilidad en pruebas. Conciliar estado por ID con Trello.</x:v>
      </x:c>
    </x:row>
    <x:row r="46" ht="57" customHeight="1">
      <x:c r="A46" s="21" t="str">
        <x:v>PB-036</x:v>
      </x:c>
      <x:c r="B46" s="20" t="str">
        <x:v>Validaciones</x:v>
      </x:c>
      <x:c r="C46" s="20" t="str">
        <x:v>Límite de carga docente</x:v>
      </x:c>
      <x:c r="D46" s="20" t="str">
        <x:v>HU-18</x:v>
      </x:c>
      <x:c r="E46" s="20" t="str">
        <x:v>Evitar que la asignación supere la carga registrada.</x:v>
      </x:c>
      <x:c r="F46" s="20" t="str">
        <x:v>Alta</x:v>
      </x:c>
      <x:c r="G46" s="20" t="str">
        <x:v>Ambos</x:v>
      </x:c>
      <x:c r="H46" s="20" t="str">
        <x:v>En pruebas</x:v>
      </x:c>
      <x:c r="I46" s="20" t="str">
        <x:v>Carga docente y horas planificadas</x:v>
      </x:c>
      <x:c r="J46" s="20" t="str">
        <x:v>La operación excedida se rechaza sin modificar la planificación.</x:v>
      </x:c>
      <x:c r="K46" s="22" t="str"/>
      <x:c r="L46" s="22" t="str"/>
      <x:c r="M46" s="20" t="str">
        <x:v>Seguimiento Kanban: 10-10: límite de carga docente en pruebas. Conciliar estado por ID con Trello.</x:v>
      </x:c>
    </x:row>
    <x:row r="47" ht="57" customHeight="1">
      <x:c r="A47" s="21" t="str">
        <x:v>PB-037</x:v>
      </x:c>
      <x:c r="B47" s="20" t="str">
        <x:v>Validaciones</x:v>
      </x:c>
      <x:c r="C47" s="20" t="str">
        <x:v>Concurrencia y reversión ante fallos</x:v>
      </x:c>
      <x:c r="D47" s="20" t="str">
        <x:v>No disponible en la fuente</x:v>
      </x:c>
      <x:c r="E47" s="20" t="str">
        <x:v>Proteger operaciones simultáneas y revertir cambios incompletos.</x:v>
      </x:c>
      <x:c r="F47" s="20" t="str">
        <x:v>Alta</x:v>
      </x:c>
      <x:c r="G47" s="20" t="str">
        <x:v>Ambos</x:v>
      </x:c>
      <x:c r="H47" s="20" t="str">
        <x:v>En pruebas</x:v>
      </x:c>
      <x:c r="I47" s="20" t="str">
        <x:v>Persistencia y validaciones</x:v>
      </x:c>
      <x:c r="J47" s="20" t="str">
        <x:v>Dos solicitudes concurrentes no guardan un conflicto; un fallo no deja datos parciales.</x:v>
      </x:c>
      <x:c r="K47" s="22" t="str"/>
      <x:c r="L47" s="22" t="str"/>
      <x:c r="M47" s="20" t="str">
        <x:v>Seguimiento Kanban: 12-10: concurrencia y reversión en pruebas. Conciliar estado por ID con Trello.</x:v>
      </x:c>
    </x:row>
    <x:row r="48" ht="57" customHeight="1">
      <x:c r="A48" s="21" t="str">
        <x:v>PB-038</x:v>
      </x:c>
      <x:c r="B48" s="20" t="str">
        <x:v>Dashboard</x:v>
      </x:c>
      <x:c r="C48" s="20" t="str">
        <x:v>Indicadores de planificación</x:v>
      </x:c>
      <x:c r="D48" s="20" t="str">
        <x:v>HU-03</x:v>
      </x:c>
      <x:c r="E48" s="20" t="str">
        <x:v>Mostrar avance y pendientes del periodo seleccionado.</x:v>
      </x:c>
      <x:c r="F48" s="20" t="str">
        <x:v>Alta</x:v>
      </x:c>
      <x:c r="G48" s="20" t="str">
        <x:v>Ambos</x:v>
      </x:c>
      <x:c r="H48" s="20" t="str">
        <x:v>Por hacer</x:v>
      </x:c>
      <x:c r="I48" s="20" t="str">
        <x:v>Horas planificadas y pendientes</x:v>
      </x:c>
      <x:c r="J48" s="20" t="str">
        <x:v>Los indicadores corresponden al Periodo Académico consultado.</x:v>
      </x:c>
      <x:c r="K48" s="22" t="str"/>
      <x:c r="L48" s="22" t="str"/>
      <x:c r="M48" s="20" t="str"/>
    </x:row>
    <x:row r="49" ht="57" customHeight="1">
      <x:c r="A49" s="21" t="str">
        <x:v>PB-039</x:v>
      </x:c>
      <x:c r="B49" s="20" t="str">
        <x:v>Dashboard</x:v>
      </x:c>
      <x:c r="C49" s="20" t="str">
        <x:v>Aulas pendientes y estado docente</x:v>
      </x:c>
      <x:c r="D49" s="20" t="str">
        <x:v>HU-03</x:v>
      </x:c>
      <x:c r="E49" s="20" t="str">
        <x:v>Destacar clases sin aula y situación de carga docente en el Dashboard.</x:v>
      </x:c>
      <x:c r="F49" s="20" t="str">
        <x:v>Alta</x:v>
      </x:c>
      <x:c r="G49" s="20" t="str">
        <x:v>Ambos</x:v>
      </x:c>
      <x:c r="H49" s="20" t="str">
        <x:v>Por hacer</x:v>
      </x:c>
      <x:c r="I49" s="20" t="str">
        <x:v>Indicadores y horarios</x:v>
      </x:c>
      <x:c r="J49" s="20" t="str">
        <x:v>Los pendientes se ven con sus cantidades correctas.</x:v>
      </x:c>
      <x:c r="K49" s="22" t="str"/>
      <x:c r="L49" s="22" t="str"/>
      <x:c r="M49" s="20" t="str"/>
    </x:row>
    <x:row r="50" ht="57" customHeight="1">
      <x:c r="A50" s="21" t="str">
        <x:v>PB-040</x:v>
      </x:c>
      <x:c r="B50" s="20" t="str">
        <x:v>Exportaciones</x:v>
      </x:c>
      <x:c r="C50" s="20" t="str">
        <x:v>Exportación Excel multinivel</x:v>
      </x:c>
      <x:c r="D50" s="20" t="str">
        <x:v>HU-19</x:v>
      </x:c>
      <x:c r="E50" s="20" t="str">
        <x:v>Exportar por Semestre, Programa, Facultad, Centro o Periodo completo.</x:v>
      </x:c>
      <x:c r="F50" s="20" t="str">
        <x:v>Alta</x:v>
      </x:c>
      <x:c r="G50" s="20" t="str">
        <x:v>Ambos</x:v>
      </x:c>
      <x:c r="H50" s="20" t="str">
        <x:v>En pruebas</x:v>
      </x:c>
      <x:c r="I50" s="20" t="str">
        <x:v>Horarios y estructura académica</x:v>
      </x:c>
      <x:c r="J50" s="20" t="str">
        <x:v>El archivo contiene solo registros del alcance elegido.</x:v>
      </x:c>
      <x:c r="K50" s="22" t="str"/>
      <x:c r="L50" s="22" t="str"/>
      <x:c r="M50" s="20" t="str">
        <x:v>Seguimiento Kanban: 14-10: exportación Excel en pruebas. Conciliar estado por ID con Trello.</x:v>
      </x:c>
    </x:row>
    <x:row r="51" ht="57" customHeight="1">
      <x:c r="A51" s="21" t="str">
        <x:v>PB-041</x:v>
      </x:c>
      <x:c r="B51" s="20" t="str">
        <x:v>Exportaciones</x:v>
      </x:c>
      <x:c r="C51" s="20" t="str">
        <x:v>Validar formato requerido por Academusoft</x:v>
      </x:c>
      <x:c r="D51" s="20" t="str">
        <x:v>No disponible en la fuente</x:v>
      </x:c>
      <x:c r="E51" s="20" t="str">
        <x:v>Obtener y validar la especificación oficial del archivo de salida.</x:v>
      </x:c>
      <x:c r="F51" s="20" t="str">
        <x:v>Alta</x:v>
      </x:c>
      <x:c r="G51" s="20" t="str">
        <x:v>Ambos</x:v>
      </x:c>
      <x:c r="H51" s="20" t="str">
        <x:v>Bloqueado</x:v>
      </x:c>
      <x:c r="I51" s="20" t="str">
        <x:v>Plantilla/especificación oficial entregada por la institución</x:v>
      </x:c>
      <x:c r="J51" s="20" t="str">
        <x:v>El formato aprobado queda documentado y verificable.</x:v>
      </x:c>
      <x:c r="K51" s="22" t="str"/>
      <x:c r="L51" s="22" t="str"/>
      <x:c r="M51" s="20" t="str">
        <x:v>Pendiente de validación del formato oficial requerido por la institución. No hay integración API automática.</x:v>
      </x:c>
    </x:row>
    <x:row r="52" ht="57" customHeight="1">
      <x:c r="A52" s="21" t="str">
        <x:v>PB-042</x:v>
      </x:c>
      <x:c r="B52" s="20" t="str">
        <x:v>Exportaciones</x:v>
      </x:c>
      <x:c r="C52" s="20" t="str">
        <x:v>PDF del horario docente</x:v>
      </x:c>
      <x:c r="D52" s="20" t="str">
        <x:v>HU-22</x:v>
      </x:c>
      <x:c r="E52" s="20" t="str">
        <x:v>Generar el PDF del horario propio del Profesor.</x:v>
      </x:c>
      <x:c r="F52" s="20" t="str">
        <x:v>Alta</x:v>
      </x:c>
      <x:c r="G52" s="20" t="str">
        <x:v>Ambos</x:v>
      </x:c>
      <x:c r="H52" s="20" t="str">
        <x:v>En pruebas</x:v>
      </x:c>
      <x:c r="I52" s="20" t="str">
        <x:v>Portal Profesor y aislamiento de datos</x:v>
      </x:c>
      <x:c r="J52" s="20" t="str">
        <x:v>El PDF coincide con el periodo y profesor autenticado.</x:v>
      </x:c>
      <x:c r="K52" s="22" t="str"/>
      <x:c r="L52" s="22" t="str"/>
      <x:c r="M52" s="20" t="str">
        <x:v>Seguimiento Kanban: 14-10: exportación PDF en pruebas. Conciliar estado por ID con Trello.</x:v>
      </x:c>
    </x:row>
    <x:row r="53" ht="57" customHeight="1">
      <x:c r="A53" s="21" t="str">
        <x:v>PB-043</x:v>
      </x:c>
      <x:c r="B53" s="20" t="str">
        <x:v>Portal Profesor</x:v>
      </x:c>
      <x:c r="C53" s="20" t="str">
        <x:v>Acceso al Portal Profesor</x:v>
      </x:c>
      <x:c r="D53" s="20" t="str">
        <x:v>HU-20</x:v>
      </x:c>
      <x:c r="E53" s="20" t="str">
        <x:v>Habilitar el espacio de consulta docente tras iniciar sesión.</x:v>
      </x:c>
      <x:c r="F53" s="20" t="str">
        <x:v>Alta</x:v>
      </x:c>
      <x:c r="G53" s="20" t="str">
        <x:v>Ambos</x:v>
      </x:c>
      <x:c r="H53" s="20" t="str">
        <x:v>Por hacer</x:v>
      </x:c>
      <x:c r="I53" s="20" t="str">
        <x:v>Autenticación y permisos</x:v>
      </x:c>
      <x:c r="J53" s="20" t="str">
        <x:v>El Profesor ingresa a una vista sin acciones administrativas.</x:v>
      </x:c>
      <x:c r="K53" s="22" t="str"/>
      <x:c r="L53" s="22" t="str"/>
      <x:c r="M53" s="20" t="str"/>
    </x:row>
    <x:row r="54" ht="57" customHeight="1">
      <x:c r="A54" s="21" t="str">
        <x:v>PB-044</x:v>
      </x:c>
      <x:c r="B54" s="20" t="str">
        <x:v>Portal Profesor</x:v>
      </x:c>
      <x:c r="C54" s="20" t="str">
        <x:v>Calendario semanal solo lectura</x:v>
      </x:c>
      <x:c r="D54" s="20" t="str">
        <x:v>HU-21</x:v>
      </x:c>
      <x:c r="E54" s="20" t="str">
        <x:v>Mostrar únicamente clases propias del Periodo Académico seleccionado.</x:v>
      </x:c>
      <x:c r="F54" s="20" t="str">
        <x:v>Alta</x:v>
      </x:c>
      <x:c r="G54" s="20" t="str">
        <x:v>Ambos</x:v>
      </x:c>
      <x:c r="H54" s="20" t="str">
        <x:v>Por hacer</x:v>
      </x:c>
      <x:c r="I54" s="20" t="str">
        <x:v>Portal y aislamiento de datos</x:v>
      </x:c>
      <x:c r="J54" s="20" t="str">
        <x:v>Las clases ajenas no son visibles ni editables.</x:v>
      </x:c>
      <x:c r="K54" s="22" t="str"/>
      <x:c r="L54" s="22" t="str"/>
      <x:c r="M54" s="20" t="str"/>
    </x:row>
    <x:row r="55" ht="57" customHeight="1">
      <x:c r="A55" s="21" t="str">
        <x:v>PB-045</x:v>
      </x:c>
      <x:c r="B55" s="20" t="str">
        <x:v>Portal Profesor</x:v>
      </x:c>
      <x:c r="C55" s="20" t="str">
        <x:v>Selección de periodo y detalle</x:v>
      </x:c>
      <x:c r="D55" s="20" t="str">
        <x:v>HU-21</x:v>
      </x:c>
      <x:c r="E55" s="20" t="str">
        <x:v>Mostrar asignatura, grupo, Sede, aula y tramo de cada clase.</x:v>
      </x:c>
      <x:c r="F55" s="20" t="str">
        <x:v>Alta</x:v>
      </x:c>
      <x:c r="G55" s="20" t="str">
        <x:v>Ambos</x:v>
      </x:c>
      <x:c r="H55" s="20" t="str">
        <x:v>Por hacer</x:v>
      </x:c>
      <x:c r="I55" s="20" t="str">
        <x:v>Calendario semanal docente</x:v>
      </x:c>
      <x:c r="J55" s="20" t="str">
        <x:v>El detalle corresponde al periodo elegido y señala Aula pendiente.</x:v>
      </x:c>
      <x:c r="K55" s="22" t="str"/>
      <x:c r="L55" s="22" t="str"/>
      <x:c r="M55" s="20" t="str"/>
    </x:row>
    <x:row r="56" ht="57" customHeight="1">
      <x:c r="A56" s="21" t="str">
        <x:v>PB-046</x:v>
      </x:c>
      <x:c r="B56" s="20" t="str">
        <x:v>Pruebas y calidad</x:v>
      </x:c>
      <x:c r="C56" s="20" t="str">
        <x:v>Pruebas de cruces de profesor, grupo y aula</x:v>
      </x:c>
      <x:c r="D56" s="20" t="str">
        <x:v>HU-16, HU-17</x:v>
      </x:c>
      <x:c r="E56" s="20" t="str">
        <x:v>Ejecutar casos válidos e inválidos para los tres recursos.</x:v>
      </x:c>
      <x:c r="F56" s="20" t="str">
        <x:v>Alta</x:v>
      </x:c>
      <x:c r="G56" s="20" t="str">
        <x:v>Ambos</x:v>
      </x:c>
      <x:c r="H56" s="20" t="str">
        <x:v>Por hacer</x:v>
      </x:c>
      <x:c r="I56" s="20" t="str">
        <x:v>Validaciones de conflictos</x:v>
      </x:c>
      <x:c r="J56" s="20" t="str">
        <x:v>Los cruces se rechazan y los casos libres se guardan.</x:v>
      </x:c>
      <x:c r="K56" s="22" t="str"/>
      <x:c r="L56" s="22" t="str"/>
      <x:c r="M56" s="20" t="str"/>
    </x:row>
    <x:row r="57" ht="57" customHeight="1">
      <x:c r="A57" s="21" t="str">
        <x:v>PB-047</x:v>
      </x:c>
      <x:c r="B57" s="20" t="str">
        <x:v>Pruebas y calidad</x:v>
      </x:c>
      <x:c r="C57" s="20" t="str">
        <x:v>Pruebas de disponibilidad y carga</x:v>
      </x:c>
      <x:c r="D57" s="20" t="str">
        <x:v>HU-18</x:v>
      </x:c>
      <x:c r="E57" s="20" t="str">
        <x:v>Probar cobertura parcial, ausencia de disponibilidad y exceso de carga.</x:v>
      </x:c>
      <x:c r="F57" s="20" t="str">
        <x:v>Alta</x:v>
      </x:c>
      <x:c r="G57" s="20" t="str">
        <x:v>Ambos</x:v>
      </x:c>
      <x:c r="H57" s="20" t="str">
        <x:v>Por hacer</x:v>
      </x:c>
      <x:c r="I57" s="20" t="str">
        <x:v>Validaciones docentes</x:v>
      </x:c>
      <x:c r="J57" s="20" t="str">
        <x:v>No se guardan operaciones fuera de límites.</x:v>
      </x:c>
      <x:c r="K57" s="22" t="str"/>
      <x:c r="L57" s="22" t="str"/>
      <x:c r="M57" s="20" t="str"/>
    </x:row>
    <x:row r="58" ht="57" customHeight="1">
      <x:c r="A58" s="21" t="str">
        <x:v>PB-048</x:v>
      </x:c>
      <x:c r="B58" s="20" t="str">
        <x:v>Pruebas y calidad</x:v>
      </x:c>
      <x:c r="C58" s="20" t="str">
        <x:v>Pruebas de concurrencia y reversión</x:v>
      </x:c>
      <x:c r="D58" s="20" t="str">
        <x:v>No disponible en la fuente</x:v>
      </x:c>
      <x:c r="E58" s="20" t="str">
        <x:v>Simular solicitudes simultáneas y fallos de persistencia.</x:v>
      </x:c>
      <x:c r="F58" s="20" t="str">
        <x:v>Alta</x:v>
      </x:c>
      <x:c r="G58" s="20" t="str">
        <x:v>Ambos</x:v>
      </x:c>
      <x:c r="H58" s="20" t="str">
        <x:v>Por hacer</x:v>
      </x:c>
      <x:c r="I58" s="20" t="str">
        <x:v>Concurrencia y reversión ante fallos</x:v>
      </x:c>
      <x:c r="J58" s="20" t="str">
        <x:v>No hay dobles reservas ni cambios parciales.</x:v>
      </x:c>
      <x:c r="K58" s="22" t="str"/>
      <x:c r="L58" s="22" t="str"/>
      <x:c r="M58" s="20" t="str"/>
    </x:row>
    <x:row r="59" ht="57" customHeight="1">
      <x:c r="A59" s="21" t="str">
        <x:v>PB-049</x:v>
      </x:c>
      <x:c r="B59" s="20" t="str">
        <x:v>Pruebas y calidad</x:v>
      </x:c>
      <x:c r="C59" s="20" t="str">
        <x:v>Pruebas de permisos y Portal Profesor</x:v>
      </x:c>
      <x:c r="D59" s="20" t="str">
        <x:v>HU-02, HU-21</x:v>
      </x:c>
      <x:c r="E59" s="20" t="str">
        <x:v>Verificar acceso por rol, consultas propias y rutas directas.</x:v>
      </x:c>
      <x:c r="F59" s="20" t="str">
        <x:v>Alta</x:v>
      </x:c>
      <x:c r="G59" s="20" t="str">
        <x:v>Ambos</x:v>
      </x:c>
      <x:c r="H59" s="20" t="str">
        <x:v>Por hacer</x:v>
      </x:c>
      <x:c r="I59" s="20" t="str">
        <x:v>Portal y control de permisos</x:v>
      </x:c>
      <x:c r="J59" s="20" t="str">
        <x:v>No se exponen horarios ajenos ni funciones administrativas.</x:v>
      </x:c>
      <x:c r="K59" s="22" t="str"/>
      <x:c r="L59" s="22" t="str"/>
      <x:c r="M59" s="20" t="str"/>
    </x:row>
    <x:row r="60" ht="57" customHeight="1">
      <x:c r="A60" s="21" t="str">
        <x:v>PB-050</x:v>
      </x:c>
      <x:c r="B60" s="20" t="str">
        <x:v>Pruebas y calidad</x:v>
      </x:c>
      <x:c r="C60" s="20" t="str">
        <x:v>Pruebas JavaScript del calendario</x:v>
      </x:c>
      <x:c r="D60" s="20" t="str">
        <x:v>HU-11, HU-13, HU-14</x:v>
      </x:c>
      <x:c r="E60" s="20" t="str">
        <x:v>Verificar arrastre, movimiento, cambio de duración y rechazo visual.</x:v>
      </x:c>
      <x:c r="F60" s="20" t="str">
        <x:v>Alta</x:v>
      </x:c>
      <x:c r="G60" s="20" t="str">
        <x:v>Ambos</x:v>
      </x:c>
      <x:c r="H60" s="20" t="str">
        <x:v>Por hacer</x:v>
      </x:c>
      <x:c r="I60" s="20" t="str">
        <x:v>FullCalendar y validaciones</x:v>
      </x:c>
      <x:c r="J60" s="20" t="str">
        <x:v>La interfaz conserva su estado cuando el servidor rechaza un cambio.</x:v>
      </x:c>
      <x:c r="K60" s="22" t="str"/>
      <x:c r="L60" s="22" t="str"/>
      <x:c r="M60" s="20" t="str"/>
    </x:row>
    <x:row r="61" ht="57" customHeight="1">
      <x:c r="A61" s="21" t="str">
        <x:v>PB-051</x:v>
      </x:c>
      <x:c r="B61" s="20" t="str">
        <x:v>Interfaz y experiencia de usuario</x:v>
      </x:c>
      <x:c r="C61" s="20" t="str">
        <x:v>Mejorar ingreso y Dashboard</x:v>
      </x:c>
      <x:c r="D61" s="20" t="str">
        <x:v>No disponible en la fuente</x:v>
      </x:c>
      <x:c r="E61" s="20" t="str">
        <x:v>Ordenar formularios, indicadores y navegación principal.</x:v>
      </x:c>
      <x:c r="F61" s="20" t="str">
        <x:v>Media</x:v>
      </x:c>
      <x:c r="G61" s="20" t="str">
        <x:v>Ambos</x:v>
      </x:c>
      <x:c r="H61" s="20" t="str">
        <x:v>Product Backlog</x:v>
      </x:c>
      <x:c r="I61" s="20" t="str">
        <x:v>Acceso y Dashboard</x:v>
      </x:c>
      <x:c r="J61" s="20" t="str">
        <x:v>Las vistas permiten identificar acciones y resultados con claridad.</x:v>
      </x:c>
      <x:c r="K61" s="22" t="str"/>
      <x:c r="L61" s="22" t="str"/>
      <x:c r="M61" s="20" t="str"/>
    </x:row>
    <x:row r="62" ht="57" customHeight="1">
      <x:c r="A62" s="21" t="str">
        <x:v>PB-052</x:v>
      </x:c>
      <x:c r="B62" s="20" t="str">
        <x:v>Documentación</x:v>
      </x:c>
      <x:c r="C62" s="20" t="str">
        <x:v>Historias de Usuario con criterios</x:v>
      </x:c>
      <x:c r="D62" s="20" t="str">
        <x:v>No disponible en la fuente</x:v>
      </x:c>
      <x:c r="E62" s="20" t="str">
        <x:v>Consolidar 22 historias y criterios de aceptación de UniPlan.</x:v>
      </x:c>
      <x:c r="F62" s="20" t="str">
        <x:v>Media</x:v>
      </x:c>
      <x:c r="G62" s="20" t="str">
        <x:v>Ambos</x:v>
      </x:c>
      <x:c r="H62" s="20" t="str">
        <x:v>Hecho</x:v>
      </x:c>
      <x:c r="I62" s="20" t="str">
        <x:v>Alcance funcional acordado</x:v>
      </x:c>
      <x:c r="J62" s="20" t="str">
        <x:v>Documento 10 en Word y PDF generado.</x:v>
      </x:c>
      <x:c r="K62" s="22" t="str"/>
      <x:c r="L62" s="22" t="str"/>
      <x:c r="M62" s="20" t="str">
        <x:v>Artefacto verificable en esta conversación; revisión académica pendiente.</x:v>
      </x:c>
    </x:row>
    <x:row r="63" ht="57" customHeight="1">
      <x:c r="A63" s="21" t="str">
        <x:v>PB-053</x:v>
      </x:c>
      <x:c r="B63" s="20" t="str">
        <x:v>Documentación</x:v>
      </x:c>
      <x:c r="C63" s="20" t="str">
        <x:v>Product Backlog formal</x:v>
      </x:c>
      <x:c r="D63" s="20" t="str">
        <x:v>No disponible en la fuente</x:v>
      </x:c>
      <x:c r="E63" s="20" t="str">
        <x:v>Consolidar el backlog en Excel con resumen y evidencia PDF.</x:v>
      </x:c>
      <x:c r="F63" s="20" t="str">
        <x:v>Media</x:v>
      </x:c>
      <x:c r="G63" s="20" t="str">
        <x:v>Ambos</x:v>
      </x:c>
      <x:c r="H63" s="20" t="str">
        <x:v>Hecho</x:v>
      </x:c>
      <x:c r="I63" s="20" t="str">
        <x:v>Historias de Usuario y alcance</x:v>
      </x:c>
      <x:c r="J63" s="20" t="str">
        <x:v>Archivo Excel y PDF de este documento generados.</x:v>
      </x:c>
      <x:c r="K63" s="22" t="str"/>
      <x:c r="L63" s="22" t="str"/>
      <x:c r="M63" s="20" t="str">
        <x:v>Estado del tablero Trello pendiente de conciliación.</x:v>
      </x:c>
    </x:row>
    <x:row r="64" ht="57" customHeight="1">
      <x:c r="A64" s="21" t="str">
        <x:v>PB-054</x:v>
      </x:c>
      <x:c r="B64" s="20" t="str">
        <x:v>Documentación</x:v>
      </x:c>
      <x:c r="C64" s="20" t="str">
        <x:v>Evidencia del tablero Kanban</x:v>
      </x:c>
      <x:c r="D64" s="20" t="str">
        <x:v>No disponible en la fuente</x:v>
      </x:c>
      <x:c r="E64" s="20" t="str">
        <x:v>Incorporar captura o exportación de Trello y conciliar los estados.</x:v>
      </x:c>
      <x:c r="F64" s="20" t="str">
        <x:v>Media</x:v>
      </x:c>
      <x:c r="G64" s="20" t="str">
        <x:v>Ambos</x:v>
      </x:c>
      <x:c r="H64" s="20" t="str">
        <x:v>Por hacer</x:v>
      </x:c>
      <x:c r="I64" s="20" t="str">
        <x:v>Acceso a Trello o exportación</x:v>
      </x:c>
      <x:c r="J64" s="20" t="str">
        <x:v>Los estados y responsables del archivo coinciden con el tablero.</x:v>
      </x:c>
      <x:c r="K64" s="22" t="str"/>
      <x:c r="L64" s="22" t="str"/>
      <x:c r="M64" s="20" t="str">
        <x:v>Fuente operativa no adjunta.</x:v>
      </x:c>
    </x:row>
    <x:row r="65">
      <x:c r="K65" s="23"/>
      <x:c r="L65" s="23"/>
    </x:row>
    <x:row r="66">
      <x:c r="K66" s="23"/>
      <x:c r="L66" s="23"/>
    </x:row>
    <x:row r="67">
      <x:c r="K67" s="23"/>
      <x:c r="L67" s="23"/>
    </x:row>
    <x:row r="68">
      <x:c r="K68" s="23"/>
      <x:c r="L68" s="23"/>
    </x:row>
    <x:row r="69">
      <x:c r="K69" s="23"/>
      <x:c r="L69" s="23"/>
    </x:row>
    <x:row r="70">
      <x:c r="K70" s="23"/>
      <x:c r="L70" s="23"/>
    </x:row>
    <x:row r="71">
      <x:c r="K71" s="23"/>
      <x:c r="L71" s="23"/>
    </x:row>
    <x:row r="72">
      <x:c r="K72" s="23"/>
      <x:c r="L72" s="23"/>
    </x:row>
    <x:row r="73">
      <x:c r="K73" s="23"/>
      <x:c r="L73" s="23"/>
    </x:row>
    <x:row r="74">
      <x:c r="K74" s="23"/>
      <x:c r="L74" s="23"/>
    </x:row>
    <x:row r="75">
      <x:c r="K75" s="23"/>
      <x:c r="L75" s="23"/>
    </x:row>
    <x:row r="76">
      <x:c r="K76" s="23"/>
      <x:c r="L76" s="23"/>
    </x:row>
    <x:row r="77">
      <x:c r="K77" s="23"/>
      <x:c r="L77" s="23"/>
    </x:row>
    <x:row r="78">
      <x:c r="K78" s="23"/>
      <x:c r="L78" s="23"/>
    </x:row>
    <x:row r="79">
      <x:c r="K79" s="23"/>
      <x:c r="L79" s="23"/>
    </x:row>
    <x:row r="80">
      <x:c r="K80" s="23"/>
      <x:c r="L80" s="23"/>
    </x:row>
    <x:row r="81">
      <x:c r="K81" s="23"/>
      <x:c r="L81" s="23"/>
    </x:row>
    <x:row r="82">
      <x:c r="K82" s="23"/>
      <x:c r="L82" s="23"/>
    </x:row>
    <x:row r="83">
      <x:c r="K83" s="23"/>
      <x:c r="L83" s="23"/>
    </x:row>
    <x:row r="84">
      <x:c r="K84" s="23"/>
      <x:c r="L84" s="23"/>
    </x:row>
    <x:row r="85">
      <x:c r="K85" s="23"/>
      <x:c r="L85" s="23"/>
    </x:row>
    <x:row r="86">
      <x:c r="K86" s="23"/>
      <x:c r="L86" s="23"/>
    </x:row>
    <x:row r="87">
      <x:c r="K87" s="23"/>
      <x:c r="L87" s="23"/>
    </x:row>
    <x:row r="88">
      <x:c r="K88" s="23"/>
      <x:c r="L88" s="23"/>
    </x:row>
    <x:row r="89">
      <x:c r="K89" s="23"/>
      <x:c r="L89" s="23"/>
    </x:row>
    <x:row r="90">
      <x:c r="K90" s="23"/>
      <x:c r="L90" s="23"/>
    </x:row>
    <x:row r="91">
      <x:c r="K91" s="23"/>
      <x:c r="L91" s="23"/>
    </x:row>
    <x:row r="92">
      <x:c r="K92" s="23"/>
      <x:c r="L92" s="23"/>
    </x:row>
    <x:row r="93">
      <x:c r="K93" s="23"/>
      <x:c r="L93" s="23"/>
    </x:row>
    <x:row r="94">
      <x:c r="K94" s="23"/>
      <x:c r="L94" s="23"/>
    </x:row>
    <x:row r="95">
      <x:c r="K95" s="23"/>
      <x:c r="L95" s="23"/>
    </x:row>
    <x:row r="96">
      <x:c r="K96" s="23"/>
      <x:c r="L96" s="23"/>
    </x:row>
    <x:row r="97">
      <x:c r="K97" s="23"/>
      <x:c r="L97" s="23"/>
    </x:row>
    <x:row r="98">
      <x:c r="K98" s="23"/>
      <x:c r="L98" s="23"/>
    </x:row>
    <x:row r="99">
      <x:c r="K99" s="23"/>
      <x:c r="L99" s="23"/>
    </x:row>
    <x:row r="100">
      <x:c r="K100" s="23"/>
      <x:c r="L100" s="23"/>
    </x:row>
    <x:row r="101">
      <x:c r="K101" s="23"/>
      <x:c r="L101" s="23"/>
    </x:row>
    <x:row r="102">
      <x:c r="K102" s="23"/>
      <x:c r="L102" s="23"/>
    </x:row>
    <x:row r="103">
      <x:c r="K103" s="23"/>
      <x:c r="L103" s="23"/>
    </x:row>
    <x:row r="104">
      <x:c r="K104" s="23"/>
      <x:c r="L104" s="23"/>
    </x:row>
    <x:row r="105">
      <x:c r="K105" s="23"/>
      <x:c r="L105" s="23"/>
    </x:row>
    <x:row r="106">
      <x:c r="K106" s="23"/>
      <x:c r="L106" s="23"/>
    </x:row>
    <x:row r="107">
      <x:c r="K107" s="23"/>
      <x:c r="L107" s="23"/>
    </x:row>
    <x:row r="108">
      <x:c r="K108" s="23"/>
      <x:c r="L108" s="23"/>
    </x:row>
    <x:row r="109">
      <x:c r="K109" s="23"/>
      <x:c r="L109" s="23"/>
    </x:row>
    <x:row r="110">
      <x:c r="K110" s="23"/>
      <x:c r="L110" s="23"/>
    </x:row>
    <x:row r="111">
      <x:c r="K111" s="23"/>
      <x:c r="L111" s="23"/>
    </x:row>
    <x:row r="112">
      <x:c r="K112" s="23"/>
      <x:c r="L112" s="23"/>
    </x:row>
    <x:row r="113">
      <x:c r="K113" s="23"/>
      <x:c r="L113" s="23"/>
    </x:row>
    <x:row r="114">
      <x:c r="K114" s="23"/>
      <x:c r="L114" s="23"/>
    </x:row>
    <x:row r="115">
      <x:c r="K115" s="23"/>
      <x:c r="L115" s="23"/>
    </x:row>
    <x:row r="116">
      <x:c r="K116" s="23"/>
      <x:c r="L116" s="23"/>
    </x:row>
    <x:row r="117">
      <x:c r="K117" s="23"/>
      <x:c r="L117" s="23"/>
    </x:row>
    <x:row r="118">
      <x:c r="K118" s="23"/>
      <x:c r="L118" s="23"/>
    </x:row>
    <x:row r="119">
      <x:c r="K119" s="23"/>
      <x:c r="L119" s="23"/>
    </x:row>
    <x:row r="120">
      <x:c r="K120" s="23"/>
      <x:c r="L120" s="23"/>
    </x:row>
    <x:row r="121">
      <x:c r="K121" s="23"/>
      <x:c r="L121" s="23"/>
    </x:row>
    <x:row r="122">
      <x:c r="K122" s="23"/>
      <x:c r="L122" s="23"/>
    </x:row>
    <x:row r="123">
      <x:c r="K123" s="23"/>
      <x:c r="L123" s="23"/>
    </x:row>
    <x:row r="124">
      <x:c r="K124" s="23"/>
      <x:c r="L124" s="23"/>
    </x:row>
    <x:row r="125">
      <x:c r="K125" s="23"/>
      <x:c r="L125" s="23"/>
    </x:row>
    <x:row r="126">
      <x:c r="K126" s="23"/>
      <x:c r="L126" s="23"/>
    </x:row>
    <x:row r="127">
      <x:c r="K127" s="23"/>
      <x:c r="L127" s="23"/>
    </x:row>
    <x:row r="128">
      <x:c r="K128" s="23"/>
      <x:c r="L128" s="23"/>
    </x:row>
    <x:row r="129">
      <x:c r="K129" s="23"/>
      <x:c r="L129" s="23"/>
    </x:row>
    <x:row r="130">
      <x:c r="K130" s="23"/>
      <x:c r="L130" s="23"/>
    </x:row>
    <x:row r="131">
      <x:c r="K131" s="23"/>
      <x:c r="L131" s="23"/>
    </x:row>
    <x:row r="132">
      <x:c r="K132" s="23"/>
      <x:c r="L132" s="23"/>
    </x:row>
    <x:row r="133">
      <x:c r="K133" s="23"/>
      <x:c r="L133" s="23"/>
    </x:row>
    <x:row r="134">
      <x:c r="K134" s="23"/>
      <x:c r="L134" s="23"/>
    </x:row>
    <x:row r="135">
      <x:c r="K135" s="23"/>
      <x:c r="L135" s="23"/>
    </x:row>
    <x:row r="136">
      <x:c r="K136" s="23"/>
      <x:c r="L136" s="23"/>
    </x:row>
    <x:row r="137">
      <x:c r="K137" s="23"/>
      <x:c r="L137" s="23"/>
    </x:row>
    <x:row r="138">
      <x:c r="K138" s="23"/>
      <x:c r="L138" s="23"/>
    </x:row>
    <x:row r="139">
      <x:c r="K139" s="23"/>
      <x:c r="L139" s="23"/>
    </x:row>
    <x:row r="140">
      <x:c r="K140" s="23"/>
      <x:c r="L140" s="23"/>
    </x:row>
    <x:row r="141">
      <x:c r="K141" s="23"/>
      <x:c r="L141" s="23"/>
    </x:row>
    <x:row r="142">
      <x:c r="K142" s="23"/>
      <x:c r="L142" s="23"/>
    </x:row>
    <x:row r="143">
      <x:c r="K143" s="23"/>
      <x:c r="L143" s="23"/>
    </x:row>
    <x:row r="144">
      <x:c r="K144" s="23"/>
      <x:c r="L144" s="23"/>
    </x:row>
    <x:row r="145">
      <x:c r="K145" s="23"/>
      <x:c r="L145" s="23"/>
    </x:row>
    <x:row r="146">
      <x:c r="K146" s="23"/>
      <x:c r="L146" s="23"/>
    </x:row>
    <x:row r="147">
      <x:c r="K147" s="23"/>
      <x:c r="L147" s="23"/>
    </x:row>
    <x:row r="148">
      <x:c r="K148" s="23"/>
      <x:c r="L148" s="23"/>
    </x:row>
    <x:row r="149">
      <x:c r="K149" s="23"/>
      <x:c r="L149" s="23"/>
    </x:row>
    <x:row r="150">
      <x:c r="K150" s="23"/>
      <x:c r="L150" s="23"/>
    </x:row>
    <x:row r="151">
      <x:c r="K151" s="23"/>
      <x:c r="L151" s="23"/>
    </x:row>
    <x:row r="152">
      <x:c r="K152" s="23"/>
      <x:c r="L152" s="23"/>
    </x:row>
    <x:row r="153">
      <x:c r="K153" s="23"/>
      <x:c r="L153" s="23"/>
    </x:row>
    <x:row r="154">
      <x:c r="K154" s="23"/>
      <x:c r="L154" s="23"/>
    </x:row>
    <x:row r="155">
      <x:c r="K155" s="23"/>
      <x:c r="L155" s="23"/>
    </x:row>
    <x:row r="156">
      <x:c r="K156" s="23"/>
      <x:c r="L156" s="23"/>
    </x:row>
    <x:row r="157">
      <x:c r="K157" s="23"/>
      <x:c r="L157" s="23"/>
    </x:row>
    <x:row r="158">
      <x:c r="K158" s="23"/>
      <x:c r="L158" s="23"/>
    </x:row>
    <x:row r="159">
      <x:c r="K159" s="23"/>
      <x:c r="L159" s="23"/>
    </x:row>
    <x:row r="160">
      <x:c r="K160" s="23"/>
      <x:c r="L160" s="23"/>
    </x:row>
    <x:row r="161">
      <x:c r="K161" s="23"/>
      <x:c r="L161" s="23"/>
    </x:row>
    <x:row r="162">
      <x:c r="K162" s="23"/>
      <x:c r="L162" s="23"/>
    </x:row>
    <x:row r="163">
      <x:c r="K163" s="23"/>
      <x:c r="L163" s="23"/>
    </x:row>
    <x:row r="164">
      <x:c r="K164" s="23"/>
      <x:c r="L164" s="23"/>
    </x:row>
    <x:row r="165">
      <x:c r="K165" s="23"/>
      <x:c r="L165" s="23"/>
    </x:row>
    <x:row r="166">
      <x:c r="K166" s="23"/>
      <x:c r="L166" s="23"/>
    </x:row>
    <x:row r="167">
      <x:c r="K167" s="23"/>
      <x:c r="L167" s="23"/>
    </x:row>
    <x:row r="168">
      <x:c r="K168" s="23"/>
      <x:c r="L168" s="23"/>
    </x:row>
    <x:row r="169">
      <x:c r="K169" s="23"/>
      <x:c r="L169" s="23"/>
    </x:row>
    <x:row r="170">
      <x:c r="K170" s="23"/>
      <x:c r="L170" s="23"/>
    </x:row>
    <x:row r="171">
      <x:c r="K171" s="23"/>
      <x:c r="L171" s="23"/>
    </x:row>
    <x:row r="172">
      <x:c r="K172" s="23"/>
      <x:c r="L172" s="23"/>
    </x:row>
    <x:row r="173">
      <x:c r="K173" s="23"/>
      <x:c r="L173" s="23"/>
    </x:row>
    <x:row r="174">
      <x:c r="K174" s="23"/>
      <x:c r="L174" s="23"/>
    </x:row>
    <x:row r="175">
      <x:c r="K175" s="23"/>
      <x:c r="L175" s="23"/>
    </x:row>
    <x:row r="176">
      <x:c r="K176" s="23"/>
      <x:c r="L176" s="23"/>
    </x:row>
    <x:row r="177">
      <x:c r="K177" s="23"/>
      <x:c r="L177" s="23"/>
    </x:row>
    <x:row r="178">
      <x:c r="K178" s="23"/>
      <x:c r="L178" s="23"/>
    </x:row>
    <x:row r="179">
      <x:c r="K179" s="23"/>
      <x:c r="L179" s="23"/>
    </x:row>
    <x:row r="180">
      <x:c r="K180" s="23"/>
      <x:c r="L180" s="23"/>
    </x:row>
    <x:row r="181">
      <x:c r="K181" s="23"/>
      <x:c r="L181" s="23"/>
    </x:row>
    <x:row r="182">
      <x:c r="K182" s="23"/>
      <x:c r="L182" s="23"/>
    </x:row>
    <x:row r="183">
      <x:c r="K183" s="23"/>
      <x:c r="L183" s="23"/>
    </x:row>
    <x:row r="184">
      <x:c r="K184" s="23"/>
      <x:c r="L184" s="23"/>
    </x:row>
    <x:row r="185">
      <x:c r="K185" s="23"/>
      <x:c r="L185" s="23"/>
    </x:row>
    <x:row r="186">
      <x:c r="K186" s="23"/>
      <x:c r="L186" s="23"/>
    </x:row>
    <x:row r="187">
      <x:c r="K187" s="23"/>
      <x:c r="L187" s="23"/>
    </x:row>
    <x:row r="188">
      <x:c r="K188" s="23"/>
      <x:c r="L188" s="23"/>
    </x:row>
    <x:row r="189">
      <x:c r="K189" s="23"/>
      <x:c r="L189" s="23"/>
    </x:row>
    <x:row r="190">
      <x:c r="K190" s="23"/>
      <x:c r="L190" s="23"/>
    </x:row>
    <x:row r="191">
      <x:c r="K191" s="23"/>
      <x:c r="L191" s="23"/>
    </x:row>
    <x:row r="192">
      <x:c r="K192" s="23"/>
      <x:c r="L192" s="23"/>
    </x:row>
    <x:row r="193">
      <x:c r="K193" s="23"/>
      <x:c r="L193" s="23"/>
    </x:row>
    <x:row r="194">
      <x:c r="K194" s="23"/>
      <x:c r="L194" s="23"/>
    </x:row>
    <x:row r="195">
      <x:c r="K195" s="23"/>
      <x:c r="L195" s="23"/>
    </x:row>
    <x:row r="196">
      <x:c r="K196" s="23"/>
      <x:c r="L196" s="23"/>
    </x:row>
    <x:row r="197">
      <x:c r="K197" s="23"/>
      <x:c r="L197" s="23"/>
    </x:row>
    <x:row r="198">
      <x:c r="K198" s="23"/>
      <x:c r="L198" s="23"/>
    </x:row>
    <x:row r="199">
      <x:c r="K199" s="23"/>
      <x:c r="L199" s="23"/>
    </x:row>
    <x:row r="200">
      <x:c r="K200" s="23"/>
      <x:c r="L200" s="23"/>
    </x:row>
    <x:row r="201">
      <x:c r="K201" s="23"/>
      <x:c r="L201" s="23"/>
    </x:row>
    <x:row r="202">
      <x:c r="K202" s="23"/>
      <x:c r="L202" s="23"/>
    </x:row>
    <x:row r="203">
      <x:c r="K203" s="23"/>
      <x:c r="L203" s="23"/>
    </x:row>
    <x:row r="204">
      <x:c r="K204" s="23"/>
      <x:c r="L204" s="23"/>
    </x:row>
    <x:row r="205">
      <x:c r="K205" s="23"/>
      <x:c r="L205" s="23"/>
    </x:row>
    <x:row r="206">
      <x:c r="K206" s="23"/>
      <x:c r="L206" s="23"/>
    </x:row>
    <x:row r="207">
      <x:c r="K207" s="23"/>
      <x:c r="L207" s="23"/>
    </x:row>
    <x:row r="208">
      <x:c r="K208" s="23"/>
      <x:c r="L208" s="23"/>
    </x:row>
    <x:row r="209">
      <x:c r="K209" s="23"/>
      <x:c r="L209" s="23"/>
    </x:row>
    <x:row r="210">
      <x:c r="K210" s="23"/>
      <x:c r="L210" s="23"/>
    </x:row>
    <x:row r="211">
      <x:c r="K211" s="23"/>
      <x:c r="L211" s="23"/>
    </x:row>
    <x:row r="212">
      <x:c r="K212" s="23"/>
      <x:c r="L212" s="23"/>
    </x:row>
    <x:row r="213">
      <x:c r="K213" s="23"/>
      <x:c r="L213" s="23"/>
    </x:row>
    <x:row r="214">
      <x:c r="K214" s="23"/>
      <x:c r="L214" s="23"/>
    </x:row>
    <x:row r="215">
      <x:c r="K215" s="23"/>
      <x:c r="L215" s="23"/>
    </x:row>
    <x:row r="216">
      <x:c r="K216" s="23"/>
      <x:c r="L216" s="23"/>
    </x:row>
    <x:row r="217">
      <x:c r="K217" s="23"/>
      <x:c r="L217" s="23"/>
    </x:row>
    <x:row r="218">
      <x:c r="K218" s="23"/>
      <x:c r="L218" s="23"/>
    </x:row>
    <x:row r="219">
      <x:c r="K219" s="23"/>
      <x:c r="L219" s="23"/>
    </x:row>
    <x:row r="220">
      <x:c r="K220" s="23"/>
      <x:c r="L220" s="23"/>
    </x:row>
    <x:row r="221">
      <x:c r="K221" s="23"/>
      <x:c r="L221" s="23"/>
    </x:row>
    <x:row r="222">
      <x:c r="K222" s="23"/>
      <x:c r="L222" s="23"/>
    </x:row>
    <x:row r="223">
      <x:c r="K223" s="23"/>
      <x:c r="L223" s="23"/>
    </x:row>
    <x:row r="224">
      <x:c r="K224" s="23"/>
      <x:c r="L224" s="23"/>
    </x:row>
    <x:row r="225">
      <x:c r="K225" s="23"/>
      <x:c r="L225" s="23"/>
    </x:row>
    <x:row r="226">
      <x:c r="K226" s="23"/>
      <x:c r="L226" s="23"/>
    </x:row>
    <x:row r="227">
      <x:c r="K227" s="23"/>
      <x:c r="L227" s="23"/>
    </x:row>
    <x:row r="228">
      <x:c r="K228" s="23"/>
      <x:c r="L228" s="23"/>
    </x:row>
    <x:row r="229">
      <x:c r="K229" s="23"/>
      <x:c r="L229" s="23"/>
    </x:row>
    <x:row r="230">
      <x:c r="K230" s="23"/>
      <x:c r="L230" s="23"/>
    </x:row>
    <x:row r="231">
      <x:c r="K231" s="23"/>
      <x:c r="L231" s="23"/>
    </x:row>
    <x:row r="232">
      <x:c r="K232" s="23"/>
      <x:c r="L232" s="23"/>
    </x:row>
    <x:row r="233">
      <x:c r="K233" s="23"/>
      <x:c r="L233" s="23"/>
    </x:row>
    <x:row r="234">
      <x:c r="K234" s="23"/>
      <x:c r="L234" s="23"/>
    </x:row>
    <x:row r="235">
      <x:c r="K235" s="23"/>
      <x:c r="L235" s="23"/>
    </x:row>
    <x:row r="236">
      <x:c r="K236" s="23"/>
      <x:c r="L236" s="23"/>
    </x:row>
    <x:row r="237">
      <x:c r="K237" s="23"/>
      <x:c r="L237" s="23"/>
    </x:row>
    <x:row r="238">
      <x:c r="K238" s="23"/>
      <x:c r="L238" s="23"/>
    </x:row>
    <x:row r="239">
      <x:c r="K239" s="23"/>
      <x:c r="L239" s="23"/>
    </x:row>
    <x:row r="240">
      <x:c r="K240" s="23"/>
      <x:c r="L240" s="23"/>
    </x:row>
    <x:row r="241">
      <x:c r="K241" s="23"/>
      <x:c r="L241" s="23"/>
    </x:row>
    <x:row r="242">
      <x:c r="K242" s="23"/>
      <x:c r="L242" s="23"/>
    </x:row>
    <x:row r="243">
      <x:c r="K243" s="23"/>
      <x:c r="L243" s="23"/>
    </x:row>
    <x:row r="244">
      <x:c r="K244" s="23"/>
      <x:c r="L244" s="23"/>
    </x:row>
    <x:row r="245">
      <x:c r="K245" s="23"/>
      <x:c r="L245" s="23"/>
    </x:row>
    <x:row r="246">
      <x:c r="K246" s="23"/>
      <x:c r="L246" s="23"/>
    </x:row>
    <x:row r="247">
      <x:c r="K247" s="23"/>
      <x:c r="L247" s="23"/>
    </x:row>
    <x:row r="248">
      <x:c r="K248" s="23"/>
      <x:c r="L248" s="23"/>
    </x:row>
    <x:row r="249">
      <x:c r="K249" s="23"/>
      <x:c r="L249" s="23"/>
    </x:row>
    <x:row r="250">
      <x:c r="K250" s="23"/>
      <x:c r="L250" s="23"/>
    </x:row>
    <x:row r="251">
      <x:c r="K251" s="23"/>
      <x:c r="L251" s="23"/>
    </x:row>
    <x:row r="252">
      <x:c r="K252" s="23"/>
      <x:c r="L252" s="23"/>
    </x:row>
    <x:row r="253">
      <x:c r="K253" s="23"/>
      <x:c r="L253" s="23"/>
    </x:row>
    <x:row r="254">
      <x:c r="K254" s="23"/>
      <x:c r="L254" s="23"/>
    </x:row>
    <x:row r="255">
      <x:c r="K255" s="23"/>
      <x:c r="L255" s="23"/>
    </x:row>
    <x:row r="256">
      <x:c r="K256" s="23"/>
      <x:c r="L256" s="23"/>
    </x:row>
    <x:row r="257">
      <x:c r="K257" s="23"/>
      <x:c r="L257" s="23"/>
    </x:row>
    <x:row r="258">
      <x:c r="K258" s="23"/>
      <x:c r="L258" s="23"/>
    </x:row>
    <x:row r="259">
      <x:c r="K259" s="23"/>
      <x:c r="L259" s="23"/>
    </x:row>
    <x:row r="260">
      <x:c r="K260" s="23"/>
      <x:c r="L260" s="23"/>
    </x:row>
    <x:row r="261">
      <x:c r="K261" s="23"/>
      <x:c r="L261" s="23"/>
    </x:row>
    <x:row r="262">
      <x:c r="K262" s="23"/>
      <x:c r="L262" s="23"/>
    </x:row>
    <x:row r="263">
      <x:c r="K263" s="23"/>
      <x:c r="L263" s="23"/>
    </x:row>
    <x:row r="264">
      <x:c r="K264" s="23"/>
      <x:c r="L264" s="23"/>
    </x:row>
    <x:row r="265">
      <x:c r="K265" s="23"/>
      <x:c r="L265" s="23"/>
    </x:row>
    <x:row r="266">
      <x:c r="K266" s="23"/>
      <x:c r="L266" s="23"/>
    </x:row>
    <x:row r="267">
      <x:c r="K267" s="23"/>
      <x:c r="L267" s="23"/>
    </x:row>
    <x:row r="268">
      <x:c r="K268" s="23"/>
      <x:c r="L268" s="23"/>
    </x:row>
    <x:row r="269">
      <x:c r="K269" s="23"/>
      <x:c r="L269" s="23"/>
    </x:row>
    <x:row r="270">
      <x:c r="K270" s="23"/>
      <x:c r="L270" s="23"/>
    </x:row>
    <x:row r="271">
      <x:c r="K271" s="23"/>
      <x:c r="L271" s="23"/>
    </x:row>
    <x:row r="272">
      <x:c r="K272" s="23"/>
      <x:c r="L272" s="23"/>
    </x:row>
    <x:row r="273">
      <x:c r="K273" s="23"/>
      <x:c r="L273" s="23"/>
    </x:row>
    <x:row r="274">
      <x:c r="K274" s="23"/>
      <x:c r="L274" s="23"/>
    </x:row>
    <x:row r="275">
      <x:c r="K275" s="23"/>
      <x:c r="L275" s="23"/>
    </x:row>
    <x:row r="276">
      <x:c r="K276" s="23"/>
      <x:c r="L276" s="23"/>
    </x:row>
    <x:row r="277">
      <x:c r="K277" s="23"/>
      <x:c r="L277" s="23"/>
    </x:row>
    <x:row r="278">
      <x:c r="K278" s="23"/>
      <x:c r="L278" s="23"/>
    </x:row>
    <x:row r="279">
      <x:c r="K279" s="23"/>
      <x:c r="L279" s="23"/>
    </x:row>
    <x:row r="280">
      <x:c r="K280" s="23"/>
      <x:c r="L280" s="23"/>
    </x:row>
    <x:row r="281">
      <x:c r="K281" s="23"/>
      <x:c r="L281" s="23"/>
    </x:row>
    <x:row r="282">
      <x:c r="K282" s="23"/>
      <x:c r="L282" s="23"/>
    </x:row>
    <x:row r="283">
      <x:c r="K283" s="23"/>
      <x:c r="L283" s="23"/>
    </x:row>
    <x:row r="284">
      <x:c r="K284" s="23"/>
      <x:c r="L284" s="23"/>
    </x:row>
    <x:row r="285">
      <x:c r="K285" s="23"/>
      <x:c r="L285" s="23"/>
    </x:row>
    <x:row r="286">
      <x:c r="K286" s="23"/>
      <x:c r="L286" s="23"/>
    </x:row>
    <x:row r="287">
      <x:c r="K287" s="23"/>
      <x:c r="L287" s="23"/>
    </x:row>
    <x:row r="288">
      <x:c r="K288" s="23"/>
      <x:c r="L288" s="23"/>
    </x:row>
    <x:row r="289">
      <x:c r="K289" s="23"/>
      <x:c r="L289" s="23"/>
    </x:row>
    <x:row r="290">
      <x:c r="K290" s="23"/>
      <x:c r="L290" s="23"/>
    </x:row>
    <x:row r="291">
      <x:c r="K291" s="23"/>
      <x:c r="L291" s="23"/>
    </x:row>
    <x:row r="292">
      <x:c r="K292" s="23"/>
      <x:c r="L292" s="23"/>
    </x:row>
    <x:row r="293">
      <x:c r="K293" s="23"/>
      <x:c r="L293" s="23"/>
    </x:row>
    <x:row r="294">
      <x:c r="K294" s="23"/>
      <x:c r="L294" s="23"/>
    </x:row>
    <x:row r="295">
      <x:c r="K295" s="23"/>
      <x:c r="L295" s="23"/>
    </x:row>
    <x:row r="296">
      <x:c r="K296" s="23"/>
      <x:c r="L296" s="23"/>
    </x:row>
    <x:row r="297">
      <x:c r="K297" s="23"/>
      <x:c r="L297" s="23"/>
    </x:row>
    <x:row r="298">
      <x:c r="K298" s="23"/>
      <x:c r="L298" s="23"/>
    </x:row>
    <x:row r="299">
      <x:c r="K299" s="23"/>
      <x:c r="L299" s="23"/>
    </x:row>
    <x:row r="300">
      <x:c r="K300" s="23"/>
      <x:c r="L300" s="23"/>
    </x:row>
  </x:sheetData>
  <x:mergeCells>
    <x:mergeCell ref="A2:M2"/>
    <x:mergeCell ref="A3:M3"/>
    <x:mergeCell ref="A5:M5"/>
    <x:mergeCell ref="A6:M6"/>
    <x:mergeCell ref="A7:M7"/>
    <x:mergeCell ref="A8:M8"/>
  </x:mergeCells>
  <x:conditionalFormatting sqref="H11:H300">
    <x:cfRule type="containsText" dxfId="0" priority="1" operator="containsText" text="Product Backlog"/>
    <x:cfRule type="containsText" dxfId="1" priority="2" operator="containsText" text="Por hacer"/>
    <x:cfRule type="containsText" dxfId="2" priority="3" operator="containsText" text="En desarrollo"/>
    <x:cfRule type="containsText" dxfId="3" priority="4" operator="containsText" text="En pruebas"/>
    <x:cfRule type="containsText" dxfId="4" priority="5" operator="containsText" text="Bloqueado"/>
    <x:cfRule type="containsText" dxfId="5" priority="6" operator="containsText" text="Hecho"/>
  </x:conditionalFormatting>
  <x:dataValidations count="3">
    <x:dataValidation type="list" sqref="F11:F300">
      <x:formula1>"Alta,Media,Baja"</x:formula1>
    </x:dataValidation>
    <x:dataValidation type="list" sqref="G11:G300">
      <x:formula1>"Maximiliano Guzmán,Iván Tobar,Ambos"</x:formula1>
    </x:dataValidation>
    <x:dataValidation type="list" sqref="H11:H300">
      <x:formula1>"Product Backlog,Por hacer,En desarrollo,En pruebas,Bloqueado,Hecho"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26d7ea85d14c57"/>
  </x:tableParts>
</x:worksheet>
</file>

<file path=xl/worksheets/sheet2.xml><?xml version="1.0" encoding="utf-8"?>
<x:worksheet xmlns:x="http://schemas.openxmlformats.org/spreadsheetml/2006/main">
  <x:sheetPr>
    <x:tabColor rgb="FF2E5C92"/>
  </x:sheetPr>
  <x:sheetViews>
    <x:sheetView showGridLines="0" workbookViewId="0"/>
  </x:sheetViews>
  <x:sheetFormatPr defaultRowHeight="15"/>
  <x:cols>
    <x:col min="1" max="1" width="4" hidden="0" customWidth="1"/>
    <x:col min="2" max="2" width="25" hidden="0" customWidth="1"/>
    <x:col min="3" max="3" width="15" hidden="0" customWidth="1"/>
    <x:col min="4" max="4" width="4" hidden="0" customWidth="1"/>
    <x:col min="5" max="5" width="4" hidden="0" customWidth="1"/>
    <x:col min="6" max="6" width="28" hidden="0" customWidth="1"/>
    <x:col min="7" max="7" width="16" hidden="0" customWidth="1"/>
    <x:col min="8" max="8" width="18" hidden="0" customWidth="1"/>
    <x:col min="9" max="9" width="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2" ht="31" customHeight="1">
      <x:c r="B2" s="1" t="str">
        <x:v>Resumen Kanban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3" customHeight="1">
      <x:c r="B3" s="24" t="str">
        <x:v>UniPlan  |  Kanban + Backlog  |  Corte documental 14-10-2026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</x:row>
    <x:row r="4"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</x:row>
    <x:row r="6" ht="24" customHeight="1">
      <x:c r="B6" s="26" t="str">
        <x:v>Total de ítems</x:v>
      </x:c>
      <x:c r="C6" s="26"/>
      <x:c r="D6" s="26"/>
      <x:c r="E6" s="26"/>
      <x:c r="F6" s="26" t="str">
        <x:v>En Hecho</x:v>
      </x:c>
      <x:c r="G6" s="26"/>
      <x:c r="H6" s="26"/>
      <x:c r="I6" s="26"/>
      <x:c r="J6" s="26" t="str">
        <x:v>WIP En desarrollo</x:v>
      </x:c>
      <x:c r="K6" s="26"/>
      <x:c r="L6" s="26"/>
    </x:row>
    <x:row r="7" ht="31" customHeight="1">
      <x:c r="B7" s="1" t="n">
        <x:f>COUNTA('Backlog de Trabajo'!$A$11:$A$300)</x:f>
        <x:v>54</x:v>
      </x:c>
      <x:c r="C7" s="1"/>
      <x:c r="D7" s="1"/>
      <x:c r="E7" s="1"/>
      <x:c r="F7" s="28" t="n">
        <x:f>IFERROR(C17/B7,0)</x:f>
        <x:v>0.037037037037037035</x:v>
      </x:c>
      <x:c r="G7" s="1"/>
      <x:c r="H7" s="1"/>
      <x:c r="I7" s="1"/>
      <x:c r="J7" s="1" t="n">
        <x:f>C14</x:f>
        <x:v>0</x:v>
      </x:c>
      <x:c r="K7" s="1"/>
      <x:c r="L7" s="1"/>
    </x:row>
    <x:row r="9">
      <x:c r="B9" s="9" t="str">
        <x:v>Estados basados en Product Backlog y, donde hay correspondencia, en hitos de seguimiento; confirmar cada ID en Trello antes de cerrar avances.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</x:row>
    <x:row r="11" ht="25" customHeight="1">
      <x:c r="B11" s="17" t="str">
        <x:v>Estado Kanban</x:v>
      </x:c>
      <x:c r="C11" s="17" t="str">
        <x:v>Ítems</x:v>
      </x:c>
      <x:c r="F11" s="17" t="str">
        <x:v>Prioridad</x:v>
      </x:c>
      <x:c r="G11" s="17" t="str">
        <x:v>Ítems</x:v>
      </x:c>
    </x:row>
    <x:row r="12" ht="25" customHeight="1">
      <x:c r="B12" s="37" t="str">
        <x:v>Product Backlog</x:v>
      </x:c>
      <x:c r="C12" s="43" t="n">
        <x:f>COUNTIF('Backlog de Trabajo'!$H$11:$H$300,B12)</x:f>
        <x:v>1</x:v>
      </x:c>
      <x:c r="F12" s="37" t="str">
        <x:v>Alta</x:v>
      </x:c>
      <x:c r="G12" s="43" t="n">
        <x:f>COUNTIF('Backlog de Trabajo'!$F$11:$F$300,F12)</x:f>
        <x:v>50</x:v>
      </x:c>
    </x:row>
    <x:row r="13" ht="25" customHeight="1">
      <x:c r="B13" s="39" t="str">
        <x:v>Por hacer</x:v>
      </x:c>
      <x:c r="C13" s="44" t="n">
        <x:f>COUNTIF('Backlog de Trabajo'!$H$11:$H$300,B13)</x:f>
        <x:v>29</x:v>
      </x:c>
      <x:c r="F13" s="39" t="str">
        <x:v>Media</x:v>
      </x:c>
      <x:c r="G13" s="44" t="n">
        <x:f>COUNTIF('Backlog de Trabajo'!$F$11:$F$300,F13)</x:f>
        <x:v>4</x:v>
      </x:c>
    </x:row>
    <x:row r="14" ht="25" customHeight="1">
      <x:c r="B14" s="39" t="str">
        <x:v>En desarrollo</x:v>
      </x:c>
      <x:c r="C14" s="44" t="n">
        <x:f>COUNTIF('Backlog de Trabajo'!$H$11:$H$300,B14)</x:f>
        <x:v>0</x:v>
      </x:c>
      <x:c r="F14" s="41" t="str">
        <x:v>Baja</x:v>
      </x:c>
      <x:c r="G14" s="45" t="n">
        <x:f>COUNTIF('Backlog de Trabajo'!$F$11:$F$300,F14)</x:f>
        <x:v>0</x:v>
      </x:c>
    </x:row>
    <x:row r="15" ht="25" customHeight="1">
      <x:c r="B15" s="39" t="str">
        <x:v>En pruebas</x:v>
      </x:c>
      <x:c r="C15" s="44" t="n">
        <x:f>COUNTIF('Backlog de Trabajo'!$H$11:$H$300,B15)</x:f>
        <x:v>21</x:v>
      </x:c>
    </x:row>
    <x:row r="16" ht="25" customHeight="1">
      <x:c r="B16" s="39" t="str">
        <x:v>Bloqueado</x:v>
      </x:c>
      <x:c r="C16" s="44" t="n">
        <x:f>COUNTIF('Backlog de Trabajo'!$H$11:$H$300,B16)</x:f>
        <x:v>1</x:v>
      </x:c>
    </x:row>
    <x:row r="17" ht="25" customHeight="1">
      <x:c r="B17" s="41" t="str">
        <x:v>Hecho</x:v>
      </x:c>
      <x:c r="C17" s="45" t="n">
        <x:f>COUNTIF('Backlog de Trabajo'!$H$11:$H$300,B17)</x:f>
        <x:v>2</x:v>
      </x:c>
    </x:row>
    <x:row r="20" ht="27" customHeight="1">
      <x:c r="B20" s="17" t="str">
        <x:v>Responsable</x:v>
      </x:c>
      <x:c r="C20" s="17" t="str">
        <x:v>Ítems</x:v>
      </x:c>
      <x:c r="F20" s="47" t="str">
        <x:v>Ítems bloqueados en el corte</x:v>
      </x:c>
      <x:c r="G20" s="47" t="n">
        <x:f>C16</x:f>
        <x:v>1</x:v>
      </x:c>
    </x:row>
    <x:row r="21" ht="25" customHeight="1">
      <x:c r="B21" s="37" t="str">
        <x:v>Maximiliano Guzmán</x:v>
      </x:c>
      <x:c r="C21" s="43" t="n">
        <x:f>COUNTIF('Backlog de Trabajo'!$G$11:$G$300,B21)</x:f>
        <x:v>0</x:v>
      </x:c>
    </x:row>
    <x:row r="22" ht="23" customHeight="1">
      <x:c r="B22" s="39" t="str">
        <x:v>Iván Tobar</x:v>
      </x:c>
      <x:c r="C22" s="44" t="n">
        <x:f>COUNTIF('Backlog de Trabajo'!$G$11:$G$300,B22)</x:f>
        <x:v>0</x:v>
      </x:c>
      <x:c r="F22" s="11" t="str">
        <x:v>PB-041 · Validar formato requerido por Academusoft</x:v>
      </x:c>
      <x:c r="G22" s="11"/>
      <x:c r="H22" s="11"/>
      <x:c r="I22" s="11"/>
    </x:row>
    <x:row r="23" ht="23" customHeight="1">
      <x:c r="B23" s="41" t="str">
        <x:v>Ambos</x:v>
      </x:c>
      <x:c r="C23" s="45" t="n">
        <x:f>COUNTIF('Backlog de Trabajo'!$G$11:$G$300,B23)</x:f>
        <x:v>54</x:v>
      </x:c>
      <x:c r="F23" s="11" t="str">
        <x:v>Pendiente de validación del formato oficial requerido por la institución.</x:v>
      </x:c>
      <x:c r="G23" s="11"/>
      <x:c r="H23" s="11"/>
      <x:c r="I23" s="11"/>
    </x:row>
    <x:row r="24" ht="23" customHeight="1">
      <x:c r="F24" s="11" t="str">
        <x:v>Dependencia externa; no se afirma integración automática.</x:v>
      </x:c>
      <x:c r="G24" s="11"/>
      <x:c r="H24" s="11"/>
      <x:c r="I24" s="11"/>
    </x:row>
    <x:row r="27" ht="25" customHeight="1">
      <x:c r="B27" s="48" t="str">
        <x:v>Política WIP</x:v>
      </x:c>
      <x:c r="C27" s="48"/>
    </x:row>
    <x:row r="28" ht="24" customHeight="1">
      <x:c r="B28" s="11" t="str">
        <x:v>Hasta 2 ítems principales en desarrollo (uno por integrante).</x:v>
      </x:c>
      <x:c r="C28" s="11"/>
      <x:c r="D28" s="11"/>
      <x:c r="E28" s="11"/>
      <x:c r="F28" s="11"/>
      <x:c r="G28" s="11"/>
      <x:c r="H28" s="11"/>
      <x:c r="I28" s="11"/>
    </x:row>
    <x:row r="29" ht="24" customHeight="1">
      <x:c r="B29" s="11"/>
      <x:c r="C29" s="11"/>
      <x:c r="D29" s="11"/>
      <x:c r="E29" s="11"/>
      <x:c r="F29" s="11"/>
      <x:c r="G29" s="11"/>
      <x:c r="H29" s="11"/>
      <x:c r="I29" s="11"/>
    </x:row>
    <x:row r="30" ht="24" customHeight="1">
      <x:c r="B30" s="11" t="str">
        <x:v>Product Backlog → Backlog de Trabajo Kanban → Seguimiento Kanban</x:v>
      </x:c>
      <x:c r="C30" s="11"/>
      <x:c r="D30" s="11"/>
      <x:c r="E30" s="11"/>
      <x:c r="F30" s="11"/>
      <x:c r="G30" s="11"/>
      <x:c r="H30" s="11"/>
      <x:c r="I30" s="11"/>
    </x:row>
    <x:row r="31" ht="24" customHeight="1">
      <x:c r="B31" s="11" t="str">
        <x:v>Fuente principal: Product_Backlog_UniPlan.xlsx. Estados contrastados con Seguimiento_Kanban_UniPlan.xlsx.</x:v>
      </x:c>
      <x:c r="C31" s="11"/>
      <x:c r="D31" s="11"/>
      <x:c r="E31" s="11"/>
      <x:c r="F31" s="11"/>
      <x:c r="G31" s="11"/>
      <x:c r="H31" s="11"/>
      <x:c r="I31" s="11"/>
    </x:row>
    <x:row r="32" ht="24" customHeight="1">
      <x:c r="B32" s="11" t="str">
        <x:v>Los campos de fecha quedan vacíos por falta de prueba de incorporación o cierre por ítem.</x:v>
      </x:c>
      <x:c r="C32" s="11"/>
      <x:c r="D32" s="11"/>
      <x:c r="E32" s="11"/>
      <x:c r="F32" s="11"/>
      <x:c r="G32" s="11"/>
      <x:c r="H32" s="11"/>
      <x:c r="I32" s="11"/>
    </x:row>
  </x:sheetData>
  <x:pageMargins left="0.7" right="0.7" top="0.75" bottom="0.75" header="0.3" footer="0.3"/>
  <x:drawing xmlns:r="http://schemas.openxmlformats.org/officeDocument/2006/relationships" r:id="Ra799f1eebde4495c"/>
</x:worksheet>
</file>