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18df1a26c146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 Backlog" sheetId="1" r:id="Rae9349bb385e47dc"/>
    <x:sheet xmlns:r="http://schemas.openxmlformats.org/officeDocument/2006/relationships" name="Resumen" sheetId="2" r:id="R1ad18ebe6acf49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172B49"/>
      <x:name val="Arial"/>
    </x:font>
    <x:font>
      <x:sz val="10"/>
      <x:color rgb="FF4D596B"/>
      <x:name val="Arial"/>
    </x:font>
    <x:font>
      <x:sz val="10"/>
      <x:color rgb="FF243042"/>
      <x:name val="Arial"/>
    </x:font>
    <x:font>
      <x:b/>
      <x:sz val="10"/>
      <x:color rgb="FFFFFFFF"/>
      <x:name val="Arial"/>
    </x:font>
    <x:font>
      <x:b/>
      <x:sz val="10"/>
      <x:color rgb="FF243B5A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B5A"/>
      </x:patternFill>
    </x:fill>
    <x:fill>
      <x:patternFill patternType="solid">
        <x:fgColor rgb="FFF4F7FB"/>
      </x:patternFill>
    </x:fill>
    <x:fill>
      <x:patternFill patternType="solid">
        <x:fgColor rgb="FFF3F6FA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D8E0E8"/>
      </x:bottom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horizontal="right" vertical="center"/>
    </x:xf>
    <x:xf numFmtId="0" fontId="3" fillId="4" borderId="0" xfId="0" applyNumberFormat="1" applyFont="1" applyFill="1" applyBorder="1" applyAlignment="1">
      <x:alignment horizontal="right" vertical="center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9">
    <x:dxf>
      <x:font>
        <x:b/>
        <x:color rgb="FF9F332D"/>
      </x:font>
      <x:fill>
        <x:patternFill patternType="solid">
          <x:bgColor rgb="FFFCE8E7"/>
        </x:patternFill>
      </x:fill>
    </x:dxf>
    <x:dxf>
      <x:font>
        <x:b/>
        <x:color rgb="FF835700"/>
      </x:font>
      <x:fill>
        <x:patternFill patternType="solid">
          <x:bgColor rgb="FFFFF0CF"/>
        </x:patternFill>
      </x:fill>
    </x:dxf>
    <x:dxf>
      <x:font>
        <x:b/>
        <x:color rgb="FF216C45"/>
      </x:font>
      <x:fill>
        <x:patternFill patternType="solid">
          <x:bgColor rgb="FFE1F3E8"/>
        </x:patternFill>
      </x:fill>
    </x:dxf>
    <x:dxf>
      <x:font>
        <x:b/>
        <x:color rgb="FF515D6D"/>
      </x:font>
      <x:fill>
        <x:patternFill patternType="solid">
          <x:bgColor rgb="FFE9ECF1"/>
        </x:patternFill>
      </x:fill>
    </x:dxf>
    <x:dxf>
      <x:font>
        <x:b/>
        <x:color rgb="FF21577E"/>
      </x:font>
      <x:fill>
        <x:patternFill patternType="solid">
          <x:bgColor rgb="FFDFEDF9"/>
        </x:patternFill>
      </x:fill>
    </x:dxf>
    <x:dxf>
      <x:font>
        <x:b/>
        <x:color rgb="FF1B53A1"/>
      </x:font>
      <x:fill>
        <x:patternFill patternType="solid">
          <x:bgColor rgb="FFD8E8FB"/>
        </x:patternFill>
      </x:fill>
    </x:dxf>
    <x:dxf>
      <x:font>
        <x:b/>
        <x:color rgb="FF65368F"/>
      </x:font>
      <x:fill>
        <x:patternFill patternType="solid">
          <x:bgColor rgb="FFEFE3F8"/>
        </x:patternFill>
      </x:fill>
    </x:dxf>
    <x:dxf>
      <x:font>
        <x:b/>
        <x:color rgb="FF982C30"/>
      </x:font>
      <x:fill>
        <x:patternFill patternType="solid">
          <x:bgColor rgb="FFFBE0E0"/>
        </x:patternFill>
      </x:fill>
    </x:dxf>
    <x:dxf>
      <x:font>
        <x:b/>
        <x:color rgb="FF216C45"/>
      </x:font>
      <x:fill>
        <x:patternFill patternType="solid">
          <x:bgColor rgb="FFDDF2E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1400daefd54c42" /><Relationship Type="http://schemas.openxmlformats.org/officeDocument/2006/relationships/theme" Target="/xl/theme/theme1.xml" Id="R77b6f18e7d0842a3" /><Relationship Type="http://schemas.openxmlformats.org/officeDocument/2006/relationships/sharedStrings" Target="/xl/sharedStrings.xml" Id="Rfb1b01cdbd064898" /><Relationship Type="http://schemas.openxmlformats.org/officeDocument/2006/relationships/worksheet" Target="/xl/worksheets/sheet1.xml" Id="Rae9349bb385e47dc" /><Relationship Type="http://schemas.openxmlformats.org/officeDocument/2006/relationships/worksheet" Target="/xl/worksheets/sheet2.xml" Id="R1ad18ebe6acf496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94030c20ba1489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Distribución por Estado Kanban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Series 1</c:v>
          </c:tx>
          <c:invertIfNegative val="0"/>
          <c:cat>
            <c:strRef>
              <c:f>'Resumen'!$B$17:$B$22</c:f>
              <c:strCache>
                <c:ptCount val="0"/>
              </c:strCache>
            </c:strRef>
          </c:cat>
          <c:val>
            <c:numRef>
              <c:f>'Resumen'!$C$17:$C$22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11</xdr:row>
      <xdr:rowOff>0</xdr:rowOff>
    </xdr:from>
    <xdr:to>
      <xdr:col>12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94030c20ba1489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UniPlanBacklog" displayName="UniPlanBacklog" ref="A7:K71" headerRowCount="1" totalsRowCount="0" totalsRowShown="0">
  <x:autoFilter ref="A7:K71"/>
  <x:tableColumns count="11">
    <x:tableColumn id="1" name="ID"/>
    <x:tableColumn id="2" name="Épica / Área"/>
    <x:tableColumn id="3" name="Ítem del Backlog"/>
    <x:tableColumn id="4" name="Historia de Usuario relacionada"/>
    <x:tableColumn id="5" name="Descripción"/>
    <x:tableColumn id="6" name="Prioridad"/>
    <x:tableColumn id="7" name="Responsable"/>
    <x:tableColumn id="8" name="Estado Kanban"/>
    <x:tableColumn id="9" name="Dependencias"/>
    <x:tableColumn id="10" name="Criterio de término / resultado esperado"/>
    <x:tableColumn id="11" name="Observaciones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78534a4f14c4cb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a871520ff4764669" /></Relationships>
</file>

<file path=xl/worksheets/sheet1.xml><?xml version="1.0" encoding="utf-8"?>
<x:worksheet xmlns:x="http://schemas.openxmlformats.org/spreadsheetml/2006/main">
  <x:sheetPr>
    <x:tabColor rgb="FF243B5A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2" hidden="0" customWidth="1"/>
    <x:col min="2" max="2" width="25" hidden="0" customWidth="1"/>
    <x:col min="3" max="3" width="38" hidden="0" customWidth="1"/>
    <x:col min="4" max="4" width="24" hidden="0" customWidth="1"/>
    <x:col min="5" max="5" width="52" hidden="0" customWidth="1"/>
    <x:col min="6" max="6" width="12" hidden="0" customWidth="1"/>
    <x:col min="7" max="7" width="22" hidden="0" customWidth="1"/>
    <x:col min="8" max="8" width="18" hidden="0" customWidth="1"/>
    <x:col min="9" max="9" width="45" hidden="0" customWidth="1"/>
    <x:col min="10" max="10" width="52" hidden="0" customWidth="1"/>
    <x:col min="11" max="11" width="42" hidden="0" customWidth="1"/>
  </x:cols>
  <x:sheetData>
    <x:row r="2" ht="30" customHeight="1">
      <x:c r="A2" s="1" t="str">
        <x:v>Product Backlog - UniPlan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2" t="str">
        <x:v>Evidencia formal al 14-10-2026  ·  Kanban + Backlog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>
      <x:c r="A4" s="2" t="str">
        <x:v>Estados y asignaciones provisionales; conciliar con el tablero Trello antes de actualizar avances.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10" customHeight="1"/>
    <x:row r="6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</x:row>
    <x:row r="7" ht="44" customHeight="1">
      <x:c r="A7" s="9" t="str">
        <x:v>ID</x:v>
      </x:c>
      <x:c r="B7" s="9" t="str">
        <x:v>Épica / Área</x:v>
      </x:c>
      <x:c r="C7" s="9" t="str">
        <x:v>Ítem del Backlog</x:v>
      </x:c>
      <x:c r="D7" s="9" t="str">
        <x:v>Historia de Usuario relacionada</x:v>
      </x:c>
      <x:c r="E7" s="9" t="str">
        <x:v>Descripción</x:v>
      </x:c>
      <x:c r="F7" s="9" t="str">
        <x:v>Prioridad</x:v>
      </x:c>
      <x:c r="G7" s="9" t="str">
        <x:v>Responsable</x:v>
      </x:c>
      <x:c r="H7" s="9" t="str">
        <x:v>Estado Kanban</x:v>
      </x:c>
      <x:c r="I7" s="9" t="str">
        <x:v>Dependencias</x:v>
      </x:c>
      <x:c r="J7" s="9" t="str">
        <x:v>Criterio de término / resultado esperado</x:v>
      </x:c>
      <x:c r="K7" s="9" t="str">
        <x:v>Observaciones</x:v>
      </x:c>
    </x:row>
    <x:row r="8" ht="58" customHeight="1">
      <x:c r="A8" s="10" t="str">
        <x:v>PB-001</x:v>
      </x:c>
      <x:c r="B8" s="6" t="str">
        <x:v>Acceso y seguridad</x:v>
      </x:c>
      <x:c r="C8" s="6" t="str">
        <x:v>Autenticación de usuarios</x:v>
      </x:c>
      <x:c r="D8" s="6" t="str">
        <x:v>HU-01</x:v>
      </x:c>
      <x:c r="E8" s="6" t="str">
        <x:v>Validar credenciales y abrir una sesión para usar UniPlan.</x:v>
      </x:c>
      <x:c r="F8" s="6" t="str">
        <x:v>Alta</x:v>
      </x:c>
      <x:c r="G8" s="6" t="str">
        <x:v>Ambos</x:v>
      </x:c>
      <x:c r="H8" s="6" t="str">
        <x:v>Por hacer</x:v>
      </x:c>
      <x:c r="I8" s="6" t="str">
        <x:v>Usuarios y modelo de roles</x:v>
      </x:c>
      <x:c r="J8" s="6" t="str">
        <x:v>Ingreso válido y rechazo de credenciales incorrectas.</x:v>
      </x:c>
      <x:c r="K8" s="6" t="str"/>
    </x:row>
    <x:row r="9" ht="58" customHeight="1">
      <x:c r="A9" s="12" t="str">
        <x:v>PB-002</x:v>
      </x:c>
      <x:c r="B9" s="11" t="str">
        <x:v>Acceso y seguridad</x:v>
      </x:c>
      <x:c r="C9" s="11" t="str">
        <x:v>Roles y permisos administrativos</x:v>
      </x:c>
      <x:c r="D9" s="11" t="str">
        <x:v>HU-02</x:v>
      </x:c>
      <x:c r="E9" s="11" t="str">
        <x:v>Separar las acciones del Administrador / Planificador de las del Profesor.</x:v>
      </x:c>
      <x:c r="F9" s="11" t="str">
        <x:v>Alta</x:v>
      </x:c>
      <x:c r="G9" s="11" t="str">
        <x:v>Ambos</x:v>
      </x:c>
      <x:c r="H9" s="11" t="str">
        <x:v>Por hacer</x:v>
      </x:c>
      <x:c r="I9" s="11" t="str">
        <x:v>Autenticación</x:v>
      </x:c>
      <x:c r="J9" s="11" t="str">
        <x:v>Cada rol accede solo a las funciones autorizadas.</x:v>
      </x:c>
      <x:c r="K9" s="11" t="str"/>
    </x:row>
    <x:row r="10" ht="58" customHeight="1">
      <x:c r="A10" s="10" t="str">
        <x:v>PB-003</x:v>
      </x:c>
      <x:c r="B10" s="6" t="str">
        <x:v>Acceso y seguridad</x:v>
      </x:c>
      <x:c r="C10" s="6" t="str">
        <x:v>Redirección por rol</x:v>
      </x:c>
      <x:c r="D10" s="6" t="str">
        <x:v>HU-01, HU-20</x:v>
      </x:c>
      <x:c r="E10" s="6" t="str">
        <x:v>Dirigir al usuario a su espacio al iniciar sesión.</x:v>
      </x:c>
      <x:c r="F10" s="6" t="str">
        <x:v>Alta</x:v>
      </x:c>
      <x:c r="G10" s="6" t="str">
        <x:v>Ambos</x:v>
      </x:c>
      <x:c r="H10" s="6" t="str">
        <x:v>Por hacer</x:v>
      </x:c>
      <x:c r="I10" s="6" t="str">
        <x:v>Autenticación y roles</x:v>
      </x:c>
      <x:c r="J10" s="6" t="str">
        <x:v>El administrador abre planificación y el profesor abre su portal.</x:v>
      </x:c>
      <x:c r="K10" s="6" t="str"/>
    </x:row>
    <x:row r="11" ht="58" customHeight="1">
      <x:c r="A11" s="12" t="str">
        <x:v>PB-004</x:v>
      </x:c>
      <x:c r="B11" s="11" t="str">
        <x:v>Acceso y seguridad</x:v>
      </x:c>
      <x:c r="C11" s="11" t="str">
        <x:v>Protección de rutas y operaciones</x:v>
      </x:c>
      <x:c r="D11" s="11" t="str">
        <x:v>HU-02</x:v>
      </x:c>
      <x:c r="E11" s="11" t="str">
        <x:v>Rechazar accesos directos a acciones administrativas sin autorización.</x:v>
      </x:c>
      <x:c r="F11" s="11" t="str">
        <x:v>Alta</x:v>
      </x:c>
      <x:c r="G11" s="11" t="str">
        <x:v>Ambos</x:v>
      </x:c>
      <x:c r="H11" s="11" t="str">
        <x:v>Por hacer</x:v>
      </x:c>
      <x:c r="I11" s="11" t="str">
        <x:v>Roles y permisos</x:v>
      </x:c>
      <x:c r="J11" s="11" t="str">
        <x:v>Las solicitudes no autorizadas no exponen ni alteran datos.</x:v>
      </x:c>
      <x:c r="K11" s="11" t="str"/>
    </x:row>
    <x:row r="12" ht="58" customHeight="1">
      <x:c r="A12" s="10" t="str">
        <x:v>PB-005</x:v>
      </x:c>
      <x:c r="B12" s="6" t="str">
        <x:v>Acceso y seguridad</x:v>
      </x:c>
      <x:c r="C12" s="6" t="str">
        <x:v>Aislamiento del horario del profesor</x:v>
      </x:c>
      <x:c r="D12" s="6" t="str">
        <x:v>HU-21</x:v>
      </x:c>
      <x:c r="E12" s="6" t="str">
        <x:v>Filtrar consultas y descargas por el perfil autenticado.</x:v>
      </x:c>
      <x:c r="F12" s="6" t="str">
        <x:v>Alta</x:v>
      </x:c>
      <x:c r="G12" s="6" t="str">
        <x:v>Ambos</x:v>
      </x:c>
      <x:c r="H12" s="6" t="str">
        <x:v>Por hacer</x:v>
      </x:c>
      <x:c r="I12" s="6" t="str">
        <x:v>Autenticación y Portal Profesor</x:v>
      </x:c>
      <x:c r="J12" s="6" t="str">
        <x:v>Un profesor no ve horarios ajenos.</x:v>
      </x:c>
      <x:c r="K12" s="6" t="str"/>
    </x:row>
    <x:row r="13" ht="58" customHeight="1">
      <x:c r="A13" s="12" t="str">
        <x:v>PB-006</x:v>
      </x:c>
      <x:c r="B13" s="11" t="str">
        <x:v>Base de datos</x:v>
      </x:c>
      <x:c r="C13" s="11" t="str">
        <x:v>Modelo de datos académico</x:v>
      </x:c>
      <x:c r="D13" s="11" t="str"/>
      <x:c r="E13" s="11" t="str">
        <x:v>Definir relaciones de estructura académica, oferta, docentes, aulas y horarios.</x:v>
      </x:c>
      <x:c r="F13" s="11" t="str">
        <x:v>Alta</x:v>
      </x:c>
      <x:c r="G13" s="11" t="str">
        <x:v>Ambos</x:v>
      </x:c>
      <x:c r="H13" s="11" t="str">
        <x:v>Por hacer</x:v>
      </x:c>
      <x:c r="I13" s="11" t="str">
        <x:v>Reglas académicas validadas</x:v>
      </x:c>
      <x:c r="J13" s="11" t="str">
        <x:v>Relaciones y restricciones reflejan los datos de UniPlan.</x:v>
      </x:c>
      <x:c r="K13" s="11" t="str"/>
    </x:row>
    <x:row r="14" ht="58" customHeight="1">
      <x:c r="A14" s="10" t="str">
        <x:v>PB-007</x:v>
      </x:c>
      <x:c r="B14" s="6" t="str">
        <x:v>Base de datos</x:v>
      </x:c>
      <x:c r="C14" s="6" t="str">
        <x:v>PostgreSQL como base principal</x:v>
      </x:c>
      <x:c r="D14" s="6" t="str"/>
      <x:c r="E14" s="6" t="str">
        <x:v>Preparar la persistencia principal en PostgreSQL y migraciones.</x:v>
      </x:c>
      <x:c r="F14" s="6" t="str">
        <x:v>Alta</x:v>
      </x:c>
      <x:c r="G14" s="6" t="str">
        <x:v>Ambos</x:v>
      </x:c>
      <x:c r="H14" s="6" t="str">
        <x:v>Por hacer</x:v>
      </x:c>
      <x:c r="I14" s="6" t="str">
        <x:v>Modelo de datos</x:v>
      </x:c>
      <x:c r="J14" s="6" t="str">
        <x:v>La aplicación funciona con PostgreSQL en el entorno acordado.</x:v>
      </x:c>
      <x:c r="K14" s="6" t="str">
        <x:v>Estado de migración sin evidencia reciente; contrastar con Trello.</x:v>
      </x:c>
    </x:row>
    <x:row r="15" ht="58" customHeight="1">
      <x:c r="A15" s="12" t="str">
        <x:v>PB-008</x:v>
      </x:c>
      <x:c r="B15" s="11" t="str">
        <x:v>Base de datos</x:v>
      </x:c>
      <x:c r="C15" s="11" t="str">
        <x:v>Configuración de conexión</x:v>
      </x:c>
      <x:c r="D15" s="11" t="str"/>
      <x:c r="E15" s="11" t="str">
        <x:v>Gestionar credenciales y parámetros de base de datos mediante variables de entorno.</x:v>
      </x:c>
      <x:c r="F15" s="11" t="str">
        <x:v>Alta</x:v>
      </x:c>
      <x:c r="G15" s="11" t="str">
        <x:v>Ambos</x:v>
      </x:c>
      <x:c r="H15" s="11" t="str">
        <x:v>Por hacer</x:v>
      </x:c>
      <x:c r="I15" s="11" t="str">
        <x:v>PostgreSQL</x:v>
      </x:c>
      <x:c r="J15" s="11" t="str">
        <x:v>La conexión cambia de entorno sin modificar el código.</x:v>
      </x:c>
      <x:c r="K15" s="11" t="str"/>
    </x:row>
    <x:row r="16" ht="58" customHeight="1">
      <x:c r="A16" s="10" t="str">
        <x:v>PB-009</x:v>
      </x:c>
      <x:c r="B16" s="6" t="str">
        <x:v>Base de datos</x:v>
      </x:c>
      <x:c r="C16" s="6" t="str">
        <x:v>Datos sintéticos coherentes</x:v>
      </x:c>
      <x:c r="D16" s="6" t="str"/>
      <x:c r="E16" s="6" t="str">
        <x:v>Preparar datos de prueba sin información sensible de la institución.</x:v>
      </x:c>
      <x:c r="F16" s="6" t="str">
        <x:v>Alta</x:v>
      </x:c>
      <x:c r="G16" s="6" t="str">
        <x:v>Ambos</x:v>
      </x:c>
      <x:c r="H16" s="6" t="str">
        <x:v>Por hacer</x:v>
      </x:c>
      <x:c r="I16" s="6" t="str">
        <x:v>Modelo de datos</x:v>
      </x:c>
      <x:c r="J16" s="6" t="str">
        <x:v>Los casos de prueba representan contextos, docentes y horarios válidos.</x:v>
      </x:c>
      <x:c r="K16" s="6" t="str"/>
    </x:row>
    <x:row r="17" ht="58" customHeight="1">
      <x:c r="A17" s="12" t="str">
        <x:v>PB-010</x:v>
      </x:c>
      <x:c r="B17" s="11" t="str">
        <x:v>Administración académica</x:v>
      </x:c>
      <x:c r="C17" s="11" t="str">
        <x:v>Centros Tutoriales y Sedes</x:v>
      </x:c>
      <x:c r="D17" s="11" t="str">
        <x:v>HU-04</x:v>
      </x:c>
      <x:c r="E17" s="11" t="str">
        <x:v>Mantener Centros Tutoriales y las Sedes asociadas.</x:v>
      </x:c>
      <x:c r="F17" s="11" t="str">
        <x:v>Alta</x:v>
      </x:c>
      <x:c r="G17" s="11" t="str">
        <x:v>Ambos</x:v>
      </x:c>
      <x:c r="H17" s="11" t="str">
        <x:v>Por hacer</x:v>
      </x:c>
      <x:c r="I17" s="11" t="str">
        <x:v>Modelo de datos académico</x:v>
      </x:c>
      <x:c r="J17" s="11" t="str">
        <x:v>Se registran, consultan y actualizan niveles correctamente relacionados.</x:v>
      </x:c>
      <x:c r="K17" s="11" t="str"/>
    </x:row>
    <x:row r="18" ht="58" customHeight="1">
      <x:c r="A18" s="10" t="str">
        <x:v>PB-011</x:v>
      </x:c>
      <x:c r="B18" s="6" t="str">
        <x:v>Administración académica</x:v>
      </x:c>
      <x:c r="C18" s="6" t="str">
        <x:v>Facultades y Programas Académicos</x:v>
      </x:c>
      <x:c r="D18" s="6" t="str">
        <x:v>HU-04</x:v>
      </x:c>
      <x:c r="E18" s="6" t="str">
        <x:v>Mantener Facultades y Programas Académicos vinculados a su estructura.</x:v>
      </x:c>
      <x:c r="F18" s="6" t="str">
        <x:v>Alta</x:v>
      </x:c>
      <x:c r="G18" s="6" t="str">
        <x:v>Ambos</x:v>
      </x:c>
      <x:c r="H18" s="6" t="str">
        <x:v>Por hacer</x:v>
      </x:c>
      <x:c r="I18" s="6" t="str">
        <x:v>Centros Tutoriales y Sedes</x:v>
      </x:c>
      <x:c r="J18" s="6" t="str">
        <x:v>Los Programas se consultan según la Facultad elegida.</x:v>
      </x:c>
      <x:c r="K18" s="6" t="str"/>
    </x:row>
    <x:row r="19" ht="58" customHeight="1">
      <x:c r="A19" s="12" t="str">
        <x:v>PB-012</x:v>
      </x:c>
      <x:c r="B19" s="11" t="str">
        <x:v>Administración académica</x:v>
      </x:c>
      <x:c r="C19" s="11" t="str">
        <x:v>Periodos Académicos y Semestres</x:v>
      </x:c>
      <x:c r="D19" s="11" t="str">
        <x:v>HU-04</x:v>
      </x:c>
      <x:c r="E19" s="11" t="str">
        <x:v>Mantener Periodos Académicos y Semestres para la planificación.</x:v>
      </x:c>
      <x:c r="F19" s="11" t="str">
        <x:v>Alta</x:v>
      </x:c>
      <x:c r="G19" s="11" t="str">
        <x:v>Ambos</x:v>
      </x:c>
      <x:c r="H19" s="11" t="str">
        <x:v>Por hacer</x:v>
      </x:c>
      <x:c r="I19" s="11" t="str">
        <x:v>Modelo de datos académico</x:v>
      </x:c>
      <x:c r="J19" s="11" t="str">
        <x:v>Los semestres disponibles corresponden al periodo seleccionado.</x:v>
      </x:c>
      <x:c r="K19" s="11" t="str"/>
    </x:row>
    <x:row r="20" ht="58" customHeight="1">
      <x:c r="A20" s="10" t="str">
        <x:v>PB-013</x:v>
      </x:c>
      <x:c r="B20" s="6" t="str">
        <x:v>Administración académica</x:v>
      </x:c>
      <x:c r="C20" s="6" t="str">
        <x:v>Modalidades y Áreas Académicas</x:v>
      </x:c>
      <x:c r="D20" s="6" t="str">
        <x:v>HU-05</x:v>
      </x:c>
      <x:c r="E20" s="6" t="str">
        <x:v>Mantener propiedades curriculares para la oferta académica.</x:v>
      </x:c>
      <x:c r="F20" s="6" t="str">
        <x:v>Alta</x:v>
      </x:c>
      <x:c r="G20" s="6" t="str">
        <x:v>Ambos</x:v>
      </x:c>
      <x:c r="H20" s="6" t="str">
        <x:v>Por hacer</x:v>
      </x:c>
      <x:c r="I20" s="6" t="str">
        <x:v>Modelo de datos académico</x:v>
      </x:c>
      <x:c r="J20" s="6" t="str">
        <x:v>Modalidad y Área se registran sin actuar como filtros superiores.</x:v>
      </x:c>
      <x:c r="K20" s="6" t="str"/>
    </x:row>
    <x:row r="21" ht="58" customHeight="1">
      <x:c r="A21" s="12" t="str">
        <x:v>PB-014</x:v>
      </x:c>
      <x:c r="B21" s="11" t="str">
        <x:v>Administración académica</x:v>
      </x:c>
      <x:c r="C21" s="11" t="str">
        <x:v>Asignaturas y Planes de Estudio</x:v>
      </x:c>
      <x:c r="D21" s="11" t="str">
        <x:v>HU-05</x:v>
      </x:c>
      <x:c r="E21" s="11" t="str">
        <x:v>Relacionar asignaturas con planes y semestres.</x:v>
      </x:c>
      <x:c r="F21" s="11" t="str">
        <x:v>Alta</x:v>
      </x:c>
      <x:c r="G21" s="11" t="str">
        <x:v>Ambos</x:v>
      </x:c>
      <x:c r="H21" s="11" t="str">
        <x:v>Por hacer</x:v>
      </x:c>
      <x:c r="I21" s="11" t="str">
        <x:v>Programas y Semestres</x:v>
      </x:c>
      <x:c r="J21" s="11" t="str">
        <x:v>La oferta del semestre contiene las asignaturas correspondientes.</x:v>
      </x:c>
      <x:c r="K21" s="11" t="str"/>
    </x:row>
    <x:row r="22" ht="58" customHeight="1">
      <x:c r="A22" s="10" t="str">
        <x:v>PB-015</x:v>
      </x:c>
      <x:c r="B22" s="6" t="str">
        <x:v>Administración académica</x:v>
      </x:c>
      <x:c r="C22" s="6" t="str">
        <x:v>Profesores</x:v>
      </x:c>
      <x:c r="D22" s="6" t="str">
        <x:v>HU-06</x:v>
      </x:c>
      <x:c r="E22" s="6" t="str">
        <x:v>Mantener información docente requerida por la planificación.</x:v>
      </x:c>
      <x:c r="F22" s="6" t="str">
        <x:v>Alta</x:v>
      </x:c>
      <x:c r="G22" s="6" t="str">
        <x:v>Ambos</x:v>
      </x:c>
      <x:c r="H22" s="6" t="str">
        <x:v>Por hacer</x:v>
      </x:c>
      <x:c r="I22" s="6" t="str">
        <x:v>Modelo de datos académico</x:v>
      </x:c>
      <x:c r="J22" s="6" t="str">
        <x:v>El profesor queda disponible para consultas y asignaciones válidas.</x:v>
      </x:c>
      <x:c r="K22" s="6" t="str"/>
    </x:row>
    <x:row r="23" ht="58" customHeight="1">
      <x:c r="A23" s="12" t="str">
        <x:v>PB-016</x:v>
      </x:c>
      <x:c r="B23" s="11" t="str">
        <x:v>Administración académica</x:v>
      </x:c>
      <x:c r="C23" s="11" t="str">
        <x:v>Aulas y Grupos</x:v>
      </x:c>
      <x:c r="D23" s="11" t="str">
        <x:v>HU-07</x:v>
      </x:c>
      <x:c r="E23" s="11" t="str">
        <x:v>Mantener aulas con Sede y grupos dentro de la oferta académica.</x:v>
      </x:c>
      <x:c r="F23" s="11" t="str">
        <x:v>Alta</x:v>
      </x:c>
      <x:c r="G23" s="11" t="str">
        <x:v>Ambos</x:v>
      </x:c>
      <x:c r="H23" s="11" t="str">
        <x:v>Por hacer</x:v>
      </x:c>
      <x:c r="I23" s="11" t="str">
        <x:v>Sedes y asignaturas</x:v>
      </x:c>
      <x:c r="J23" s="11" t="str">
        <x:v>Aulas y grupos se consultan en su contexto correcto.</x:v>
      </x:c>
      <x:c r="K23" s="11" t="str"/>
    </x:row>
    <x:row r="24" ht="58" customHeight="1">
      <x:c r="A24" s="10" t="str">
        <x:v>PB-017</x:v>
      </x:c>
      <x:c r="B24" s="6" t="str">
        <x:v>Docencia</x:v>
      </x:c>
      <x:c r="C24" s="6" t="str">
        <x:v>Disponibilidad docente</x:v>
      </x:c>
      <x:c r="D24" s="6" t="str">
        <x:v>HU-06, HU-18</x:v>
      </x:c>
      <x:c r="E24" s="6" t="str">
        <x:v>Registrar días y tramos habilitados por profesor.</x:v>
      </x:c>
      <x:c r="F24" s="6" t="str">
        <x:v>Alta</x:v>
      </x:c>
      <x:c r="G24" s="6" t="str">
        <x:v>Ambos</x:v>
      </x:c>
      <x:c r="H24" s="6" t="str">
        <x:v>Por hacer</x:v>
      </x:c>
      <x:c r="I24" s="6" t="str">
        <x:v>Profesores y Periodos Académicos</x:v>
      </x:c>
      <x:c r="J24" s="6" t="str">
        <x:v>La disponibilidad se consulta y usa en validaciones.</x:v>
      </x:c>
      <x:c r="K24" s="6" t="str"/>
    </x:row>
    <x:row r="25" ht="58" customHeight="1">
      <x:c r="A25" s="12" t="str">
        <x:v>PB-018</x:v>
      </x:c>
      <x:c r="B25" s="11" t="str">
        <x:v>Docencia</x:v>
      </x:c>
      <x:c r="C25" s="11" t="str">
        <x:v>Carga docente</x:v>
      </x:c>
      <x:c r="D25" s="11" t="str">
        <x:v>HU-06, HU-18</x:v>
      </x:c>
      <x:c r="E25" s="11" t="str">
        <x:v>Registrar horas asignables por profesor en el periodo.</x:v>
      </x:c>
      <x:c r="F25" s="11" t="str">
        <x:v>Alta</x:v>
      </x:c>
      <x:c r="G25" s="11" t="str">
        <x:v>Ambos</x:v>
      </x:c>
      <x:c r="H25" s="11" t="str">
        <x:v>Por hacer</x:v>
      </x:c>
      <x:c r="I25" s="11" t="str">
        <x:v>Profesores y Periodos Académicos</x:v>
      </x:c>
      <x:c r="J25" s="11" t="str">
        <x:v>El límite de carga se consulta y usa en validaciones.</x:v>
      </x:c>
      <x:c r="K25" s="11" t="str"/>
    </x:row>
    <x:row r="26" ht="58" customHeight="1">
      <x:c r="A26" s="10" t="str">
        <x:v>PB-019</x:v>
      </x:c>
      <x:c r="B26" s="6" t="str">
        <x:v>Docencia</x:v>
      </x:c>
      <x:c r="C26" s="6" t="str">
        <x:v>Horas planificadas y pendientes</x:v>
      </x:c>
      <x:c r="D26" s="6" t="str">
        <x:v>HU-06, HU-10</x:v>
      </x:c>
      <x:c r="E26" s="6" t="str">
        <x:v>Calcular el avance horario a partir de carga y clases registradas.</x:v>
      </x:c>
      <x:c r="F26" s="6" t="str">
        <x:v>Alta</x:v>
      </x:c>
      <x:c r="G26" s="6" t="str">
        <x:v>Ambos</x:v>
      </x:c>
      <x:c r="H26" s="6" t="str">
        <x:v>Por hacer</x:v>
      </x:c>
      <x:c r="I26" s="6" t="str">
        <x:v>Carga docente y horarios</x:v>
      </x:c>
      <x:c r="J26" s="6" t="str">
        <x:v>Los totales se actualizan al crear, modificar o eliminar clases.</x:v>
      </x:c>
      <x:c r="K26" s="6" t="str"/>
    </x:row>
    <x:row r="27" ht="58" customHeight="1">
      <x:c r="A27" s="12" t="str">
        <x:v>PB-020</x:v>
      </x:c>
      <x:c r="B27" s="11" t="str">
        <x:v>Planificación</x:v>
      </x:c>
      <x:c r="C27" s="11" t="str">
        <x:v>Contexto académico y semestre</x:v>
      </x:c>
      <x:c r="D27" s="11" t="str">
        <x:v>HU-08</x:v>
      </x:c>
      <x:c r="E27" s="11" t="str">
        <x:v>Seleccionar Centro Tutorial, Sede, Facultad, Programa, Periodo y Semestre.</x:v>
      </x:c>
      <x:c r="F27" s="11" t="str">
        <x:v>Alta</x:v>
      </x:c>
      <x:c r="G27" s="11" t="str">
        <x:v>Ambos</x:v>
      </x:c>
      <x:c r="H27" s="11" t="str">
        <x:v>Por hacer</x:v>
      </x:c>
      <x:c r="I27" s="11" t="str">
        <x:v>Mantenedores académicos</x:v>
      </x:c>
      <x:c r="J27" s="11" t="str">
        <x:v>El calendario carga solo el contexto seleccionado.</x:v>
      </x:c>
      <x:c r="K27" s="11" t="str"/>
    </x:row>
    <x:row r="28" ht="58" customHeight="1">
      <x:c r="A28" s="10" t="str">
        <x:v>PB-021</x:v>
      </x:c>
      <x:c r="B28" s="6" t="str">
        <x:v>Planificación</x:v>
      </x:c>
      <x:c r="C28" s="6" t="str">
        <x:v>Oferta del semestre y profesores</x:v>
      </x:c>
      <x:c r="D28" s="6" t="str">
        <x:v>HU-09</x:v>
      </x:c>
      <x:c r="E28" s="6" t="str">
        <x:v>Consultar asignaturas, grupos y profesores para impartirlas.</x:v>
      </x:c>
      <x:c r="F28" s="6" t="str">
        <x:v>Alta</x:v>
      </x:c>
      <x:c r="G28" s="6" t="str">
        <x:v>Ambos</x:v>
      </x:c>
      <x:c r="H28" s="6" t="str">
        <x:v>Por hacer</x:v>
      </x:c>
      <x:c r="I28" s="6" t="str">
        <x:v>Planes, grupos, profesores y contexto</x:v>
      </x:c>
      <x:c r="J28" s="6" t="str">
        <x:v>La selección propone únicamente combinaciones de la oferta.</x:v>
      </x:c>
      <x:c r="K28" s="6" t="str"/>
    </x:row>
    <x:row r="29" ht="58" customHeight="1">
      <x:c r="A29" s="12" t="str">
        <x:v>PB-022</x:v>
      </x:c>
      <x:c r="B29" s="11" t="str">
        <x:v>Planificación</x:v>
      </x:c>
      <x:c r="C29" s="11" t="str">
        <x:v>Calendario interactivo FullCalendar</x:v>
      </x:c>
      <x:c r="D29" s="11" t="str">
        <x:v>HU-10</x:v>
      </x:c>
      <x:c r="E29" s="11" t="str">
        <x:v>Presentar las clases del contexto en un calendario visual.</x:v>
      </x:c>
      <x:c r="F29" s="11" t="str">
        <x:v>Alta</x:v>
      </x:c>
      <x:c r="G29" s="11" t="str">
        <x:v>Ambos</x:v>
      </x:c>
      <x:c r="H29" s="11" t="str">
        <x:v>Por hacer</x:v>
      </x:c>
      <x:c r="I29" s="11" t="str">
        <x:v>Contexto académico y horarios</x:v>
      </x:c>
      <x:c r="J29" s="11" t="str">
        <x:v>Las clases registradas se muestran en el tramo correcto.</x:v>
      </x:c>
      <x:c r="K29" s="11" t="str"/>
    </x:row>
    <x:row r="30" ht="58" customHeight="1">
      <x:c r="A30" s="10" t="str">
        <x:v>PB-023</x:v>
      </x:c>
      <x:c r="B30" s="6" t="str">
        <x:v>Planificación</x:v>
      </x:c>
      <x:c r="C30" s="6" t="str">
        <x:v>Crear clase con arrastre</x:v>
      </x:c>
      <x:c r="D30" s="6" t="str">
        <x:v>HU-11</x:v>
      </x:c>
      <x:c r="E30" s="6" t="str">
        <x:v>Arrastrar oferta y profesor hacia un tramo del calendario.</x:v>
      </x:c>
      <x:c r="F30" s="6" t="str">
        <x:v>Alta</x:v>
      </x:c>
      <x:c r="G30" s="6" t="str">
        <x:v>Ambos</x:v>
      </x:c>
      <x:c r="H30" s="6" t="str">
        <x:v>Por hacer</x:v>
      </x:c>
      <x:c r="I30" s="6" t="str">
        <x:v>Calendario, oferta y validaciones</x:v>
      </x:c>
      <x:c r="J30" s="6" t="str">
        <x:v>Se guarda una clase válida con duración inicial de una hora.</x:v>
      </x:c>
      <x:c r="K30" s="6" t="str"/>
    </x:row>
    <x:row r="31" ht="58" customHeight="1">
      <x:c r="A31" s="12" t="str">
        <x:v>PB-024</x:v>
      </x:c>
      <x:c r="B31" s="11" t="str">
        <x:v>Planificación</x:v>
      </x:c>
      <x:c r="C31" s="11" t="str">
        <x:v>Aula pendiente y Sede obligatoria</x:v>
      </x:c>
      <x:c r="D31" s="11" t="str">
        <x:v>HU-11</x:v>
      </x:c>
      <x:c r="E31" s="11" t="str">
        <x:v>Permitir creación sin aula, manteniendo siempre una Sede.</x:v>
      </x:c>
      <x:c r="F31" s="11" t="str">
        <x:v>Alta</x:v>
      </x:c>
      <x:c r="G31" s="11" t="str">
        <x:v>Ambos</x:v>
      </x:c>
      <x:c r="H31" s="11" t="str">
        <x:v>Por hacer</x:v>
      </x:c>
      <x:c r="I31" s="11" t="str">
        <x:v>Crear clase con arrastre</x:v>
      </x:c>
      <x:c r="J31" s="11" t="str">
        <x:v>El horario muestra Aula pendiente cuando corresponde.</x:v>
      </x:c>
      <x:c r="K31" s="11" t="str"/>
    </x:row>
    <x:row r="32" ht="58" customHeight="1">
      <x:c r="A32" s="10" t="str">
        <x:v>PB-025</x:v>
      </x:c>
      <x:c r="B32" s="6" t="str">
        <x:v>Planificación</x:v>
      </x:c>
      <x:c r="C32" s="6" t="str">
        <x:v>Asignar o cambiar aula</x:v>
      </x:c>
      <x:c r="D32" s="6" t="str">
        <x:v>HU-12</x:v>
      </x:c>
      <x:c r="E32" s="6" t="str">
        <x:v>Seleccionar o reemplazar un aula para una clase.</x:v>
      </x:c>
      <x:c r="F32" s="6" t="str">
        <x:v>Alta</x:v>
      </x:c>
      <x:c r="G32" s="6" t="str">
        <x:v>Ambos</x:v>
      </x:c>
      <x:c r="H32" s="6" t="str">
        <x:v>Por hacer</x:v>
      </x:c>
      <x:c r="I32" s="6" t="str">
        <x:v>Aulas y validaciones</x:v>
      </x:c>
      <x:c r="J32" s="6" t="str">
        <x:v>Se guarda solo un aula compatible y libre.</x:v>
      </x:c>
      <x:c r="K32" s="6" t="str"/>
    </x:row>
    <x:row r="33" ht="58" customHeight="1">
      <x:c r="A33" s="12" t="str">
        <x:v>PB-026</x:v>
      </x:c>
      <x:c r="B33" s="11" t="str">
        <x:v>Planificación</x:v>
      </x:c>
      <x:c r="C33" s="11" t="str">
        <x:v>Mover clase en el calendario</x:v>
      </x:c>
      <x:c r="D33" s="11" t="str">
        <x:v>HU-13</x:v>
      </x:c>
      <x:c r="E33" s="11" t="str">
        <x:v>Cambiar día u hora mediante arrastre y confirmación.</x:v>
      </x:c>
      <x:c r="F33" s="11" t="str">
        <x:v>Alta</x:v>
      </x:c>
      <x:c r="G33" s="11" t="str">
        <x:v>Ambos</x:v>
      </x:c>
      <x:c r="H33" s="11" t="str">
        <x:v>Por hacer</x:v>
      </x:c>
      <x:c r="I33" s="11" t="str">
        <x:v>Calendario y validaciones</x:v>
      </x:c>
      <x:c r="J33" s="11" t="str">
        <x:v>El horario se actualiza solo tras validación y confirmación.</x:v>
      </x:c>
      <x:c r="K33" s="11" t="str"/>
    </x:row>
    <x:row r="34" ht="58" customHeight="1">
      <x:c r="A34" s="10" t="str">
        <x:v>PB-027</x:v>
      </x:c>
      <x:c r="B34" s="6" t="str">
        <x:v>Planificación</x:v>
      </x:c>
      <x:c r="C34" s="6" t="str">
        <x:v>Redimensionar clase</x:v>
      </x:c>
      <x:c r="D34" s="6" t="str">
        <x:v>HU-14</x:v>
      </x:c>
      <x:c r="E34" s="6" t="str">
        <x:v>Modificar duración visualmente y recalcular las horas.</x:v>
      </x:c>
      <x:c r="F34" s="6" t="str">
        <x:v>Alta</x:v>
      </x:c>
      <x:c r="G34" s="6" t="str">
        <x:v>Ambos</x:v>
      </x:c>
      <x:c r="H34" s="6" t="str">
        <x:v>Por hacer</x:v>
      </x:c>
      <x:c r="I34" s="6" t="str">
        <x:v>Calendario y validaciones</x:v>
      </x:c>
      <x:c r="J34" s="6" t="str">
        <x:v>La nueva duración válida actualiza carga y calendario.</x:v>
      </x:c>
      <x:c r="K34" s="6" t="str"/>
    </x:row>
    <x:row r="35" ht="58" customHeight="1">
      <x:c r="A35" s="12" t="str">
        <x:v>PB-028</x:v>
      </x:c>
      <x:c r="B35" s="11" t="str">
        <x:v>Planificación</x:v>
      </x:c>
      <x:c r="C35" s="11" t="str">
        <x:v>Eliminar clase con confirmación</x:v>
      </x:c>
      <x:c r="D35" s="11" t="str">
        <x:v>HU-15</x:v>
      </x:c>
      <x:c r="E35" s="11" t="str">
        <x:v>Solicitar confirmación para retirar una clase.</x:v>
      </x:c>
      <x:c r="F35" s="11" t="str">
        <x:v>Alta</x:v>
      </x:c>
      <x:c r="G35" s="11" t="str">
        <x:v>Ambos</x:v>
      </x:c>
      <x:c r="H35" s="11" t="str">
        <x:v>Por hacer</x:v>
      </x:c>
      <x:c r="I35" s="11" t="str">
        <x:v>Calendario y permisos</x:v>
      </x:c>
      <x:c r="J35" s="11" t="str">
        <x:v>La cancelación conserva datos; la confirmación actualiza los totales.</x:v>
      </x:c>
      <x:c r="K35" s="11" t="str"/>
    </x:row>
    <x:row r="36" ht="58" customHeight="1">
      <x:c r="A36" s="10" t="str">
        <x:v>PB-029</x:v>
      </x:c>
      <x:c r="B36" s="6" t="str">
        <x:v>Planificación</x:v>
      </x:c>
      <x:c r="C36" s="6" t="str">
        <x:v>Ocupaciones en otros contextos</x:v>
      </x:c>
      <x:c r="D36" s="6" t="str">
        <x:v>HU-10</x:v>
      </x:c>
      <x:c r="E36" s="6" t="str">
        <x:v>Mostrar al planificador clases del profesor en otras Sedes o Programas.</x:v>
      </x:c>
      <x:c r="F36" s="6" t="str">
        <x:v>Alta</x:v>
      </x:c>
      <x:c r="G36" s="6" t="str">
        <x:v>Ambos</x:v>
      </x:c>
      <x:c r="H36" s="6" t="str">
        <x:v>Por hacer</x:v>
      </x:c>
      <x:c r="I36" s="6" t="str">
        <x:v>Consulta global del profesor</x:v>
      </x:c>
      <x:c r="J36" s="6" t="str">
        <x:v>Se identifican tramos ocupados del mismo Periodo Académico.</x:v>
      </x:c>
      <x:c r="K36" s="6" t="str"/>
    </x:row>
    <x:row r="37" ht="58" customHeight="1">
      <x:c r="A37" s="12" t="str">
        <x:v>PB-030</x:v>
      </x:c>
      <x:c r="B37" s="11" t="str">
        <x:v>Planificación</x:v>
      </x:c>
      <x:c r="C37" s="11" t="str">
        <x:v>Zonas visuales sin disponibilidad</x:v>
      </x:c>
      <x:c r="D37" s="11" t="str">
        <x:v>HU-18</x:v>
      </x:c>
      <x:c r="E37" s="11" t="str">
        <x:v>Señalar tramos no disponibles durante el arrastre.</x:v>
      </x:c>
      <x:c r="F37" s="11" t="str">
        <x:v>Alta</x:v>
      </x:c>
      <x:c r="G37" s="11" t="str">
        <x:v>Ambos</x:v>
      </x:c>
      <x:c r="H37" s="11" t="str">
        <x:v>Por hacer</x:v>
      </x:c>
      <x:c r="I37" s="11" t="str">
        <x:v>Disponibilidad y calendario</x:v>
      </x:c>
      <x:c r="J37" s="11" t="str">
        <x:v>El usuario identifica visualmente los tramos no habilitados.</x:v>
      </x:c>
      <x:c r="K37" s="11" t="str"/>
    </x:row>
    <x:row r="38" ht="58" customHeight="1">
      <x:c r="A38" s="10" t="str">
        <x:v>PB-031</x:v>
      </x:c>
      <x:c r="B38" s="6" t="str">
        <x:v>Validaciones</x:v>
      </x:c>
      <x:c r="C38" s="6" t="str">
        <x:v>Conflicto global de profesor</x:v>
      </x:c>
      <x:c r="D38" s="6" t="str">
        <x:v>HU-16</x:v>
      </x:c>
      <x:c r="E38" s="6" t="str">
        <x:v>Comprobar cruces del profesor en todo el Periodo Académico.</x:v>
      </x:c>
      <x:c r="F38" s="6" t="str">
        <x:v>Alta</x:v>
      </x:c>
      <x:c r="G38" s="6" t="str">
        <x:v>Ambos</x:v>
      </x:c>
      <x:c r="H38" s="6" t="str">
        <x:v>Por hacer</x:v>
      </x:c>
      <x:c r="I38" s="6" t="str">
        <x:v>Horarios y Periodo Académico</x:v>
      </x:c>
      <x:c r="J38" s="6" t="str">
        <x:v>Se rechaza un cruce incluso entre distintas Sedes o Programas.</x:v>
      </x:c>
      <x:c r="K38" s="6" t="str"/>
    </x:row>
    <x:row r="39" ht="58" customHeight="1">
      <x:c r="A39" s="12" t="str">
        <x:v>PB-032</x:v>
      </x:c>
      <x:c r="B39" s="11" t="str">
        <x:v>Validaciones</x:v>
      </x:c>
      <x:c r="C39" s="11" t="str">
        <x:v>Conflicto de grupo</x:v>
      </x:c>
      <x:c r="D39" s="11" t="str">
        <x:v>HU-17</x:v>
      </x:c>
      <x:c r="E39" s="11" t="str">
        <x:v>Evitar clases simultáneas para el mismo grupo.</x:v>
      </x:c>
      <x:c r="F39" s="11" t="str">
        <x:v>Alta</x:v>
      </x:c>
      <x:c r="G39" s="11" t="str">
        <x:v>Ambos</x:v>
      </x:c>
      <x:c r="H39" s="11" t="str">
        <x:v>Por hacer</x:v>
      </x:c>
      <x:c r="I39" s="11" t="str">
        <x:v>Grupos y horarios</x:v>
      </x:c>
      <x:c r="J39" s="11" t="str">
        <x:v>Una propuesta superpuesta se rechaza sin cambios.</x:v>
      </x:c>
      <x:c r="K39" s="11" t="str"/>
    </x:row>
    <x:row r="40" ht="58" customHeight="1">
      <x:c r="A40" s="10" t="str">
        <x:v>PB-033</x:v>
      </x:c>
      <x:c r="B40" s="6" t="str">
        <x:v>Validaciones</x:v>
      </x:c>
      <x:c r="C40" s="6" t="str">
        <x:v>Conflicto de aula</x:v>
      </x:c>
      <x:c r="D40" s="6" t="str">
        <x:v>HU-17</x:v>
      </x:c>
      <x:c r="E40" s="6" t="str">
        <x:v>Evitar ocupación simultánea de la misma aula.</x:v>
      </x:c>
      <x:c r="F40" s="6" t="str">
        <x:v>Alta</x:v>
      </x:c>
      <x:c r="G40" s="6" t="str">
        <x:v>Ambos</x:v>
      </x:c>
      <x:c r="H40" s="6" t="str">
        <x:v>Por hacer</x:v>
      </x:c>
      <x:c r="I40" s="6" t="str">
        <x:v>Aulas y horarios</x:v>
      </x:c>
      <x:c r="J40" s="6" t="str">
        <x:v>La operación informa el cruce y conserva el horario previo.</x:v>
      </x:c>
      <x:c r="K40" s="6" t="str"/>
    </x:row>
    <x:row r="41" ht="58" customHeight="1">
      <x:c r="A41" s="12" t="str">
        <x:v>PB-034</x:v>
      </x:c>
      <x:c r="B41" s="11" t="str">
        <x:v>Validaciones</x:v>
      </x:c>
      <x:c r="C41" s="11" t="str">
        <x:v>Consistencia Sede y Aula</x:v>
      </x:c>
      <x:c r="D41" s="11" t="str">
        <x:v>HU-17</x:v>
      </x:c>
      <x:c r="E41" s="11" t="str">
        <x:v>Impedir que una clase use un aula perteneciente a otra Sede.</x:v>
      </x:c>
      <x:c r="F41" s="11" t="str">
        <x:v>Alta</x:v>
      </x:c>
      <x:c r="G41" s="11" t="str">
        <x:v>Ambos</x:v>
      </x:c>
      <x:c r="H41" s="11" t="str">
        <x:v>Por hacer</x:v>
      </x:c>
      <x:c r="I41" s="11" t="str">
        <x:v>Sedes y aulas</x:v>
      </x:c>
      <x:c r="J41" s="11" t="str">
        <x:v>Solo se asignan aulas de la Sede de la clase.</x:v>
      </x:c>
      <x:c r="K41" s="11" t="str"/>
    </x:row>
    <x:row r="42" ht="58" customHeight="1">
      <x:c r="A42" s="10" t="str">
        <x:v>PB-035</x:v>
      </x:c>
      <x:c r="B42" s="6" t="str">
        <x:v>Validaciones</x:v>
      </x:c>
      <x:c r="C42" s="6" t="str">
        <x:v>Cobertura de disponibilidad</x:v>
      </x:c>
      <x:c r="D42" s="6" t="str">
        <x:v>HU-18</x:v>
      </x:c>
      <x:c r="E42" s="6" t="str">
        <x:v>Comprobar disponibilidad docente en todo el tramo propuesto.</x:v>
      </x:c>
      <x:c r="F42" s="6" t="str">
        <x:v>Alta</x:v>
      </x:c>
      <x:c r="G42" s="6" t="str">
        <x:v>Ambos</x:v>
      </x:c>
      <x:c r="H42" s="6" t="str">
        <x:v>Por hacer</x:v>
      </x:c>
      <x:c r="I42" s="6" t="str">
        <x:v>Disponibilidad docente</x:v>
      </x:c>
      <x:c r="J42" s="6" t="str">
        <x:v>Se rechaza una clase fuera de los tramos habilitados.</x:v>
      </x:c>
      <x:c r="K42" s="6" t="str"/>
    </x:row>
    <x:row r="43" ht="58" customHeight="1">
      <x:c r="A43" s="12" t="str">
        <x:v>PB-036</x:v>
      </x:c>
      <x:c r="B43" s="11" t="str">
        <x:v>Validaciones</x:v>
      </x:c>
      <x:c r="C43" s="11" t="str">
        <x:v>Límite de carga docente</x:v>
      </x:c>
      <x:c r="D43" s="11" t="str">
        <x:v>HU-18</x:v>
      </x:c>
      <x:c r="E43" s="11" t="str">
        <x:v>Evitar que la asignación supere la carga registrada.</x:v>
      </x:c>
      <x:c r="F43" s="11" t="str">
        <x:v>Alta</x:v>
      </x:c>
      <x:c r="G43" s="11" t="str">
        <x:v>Ambos</x:v>
      </x:c>
      <x:c r="H43" s="11" t="str">
        <x:v>Por hacer</x:v>
      </x:c>
      <x:c r="I43" s="11" t="str">
        <x:v>Carga docente y horas planificadas</x:v>
      </x:c>
      <x:c r="J43" s="11" t="str">
        <x:v>La operación excedida se rechaza sin modificar la planificación.</x:v>
      </x:c>
      <x:c r="K43" s="11" t="str"/>
    </x:row>
    <x:row r="44" ht="58" customHeight="1">
      <x:c r="A44" s="10" t="str">
        <x:v>PB-037</x:v>
      </x:c>
      <x:c r="B44" s="6" t="str">
        <x:v>Validaciones</x:v>
      </x:c>
      <x:c r="C44" s="6" t="str">
        <x:v>Concurrencia y reversión ante fallos</x:v>
      </x:c>
      <x:c r="D44" s="6" t="str"/>
      <x:c r="E44" s="6" t="str">
        <x:v>Proteger operaciones simultáneas y revertir cambios incompletos.</x:v>
      </x:c>
      <x:c r="F44" s="6" t="str">
        <x:v>Alta</x:v>
      </x:c>
      <x:c r="G44" s="6" t="str">
        <x:v>Ambos</x:v>
      </x:c>
      <x:c r="H44" s="6" t="str">
        <x:v>Por hacer</x:v>
      </x:c>
      <x:c r="I44" s="6" t="str">
        <x:v>Persistencia y validaciones</x:v>
      </x:c>
      <x:c r="J44" s="6" t="str">
        <x:v>Dos solicitudes concurrentes no guardan un conflicto; un fallo no deja datos parciales.</x:v>
      </x:c>
      <x:c r="K44" s="6" t="str"/>
    </x:row>
    <x:row r="45" ht="58" customHeight="1">
      <x:c r="A45" s="12" t="str">
        <x:v>PB-038</x:v>
      </x:c>
      <x:c r="B45" s="11" t="str">
        <x:v>Dashboard</x:v>
      </x:c>
      <x:c r="C45" s="11" t="str">
        <x:v>Indicadores de planificación</x:v>
      </x:c>
      <x:c r="D45" s="11" t="str">
        <x:v>HU-03</x:v>
      </x:c>
      <x:c r="E45" s="11" t="str">
        <x:v>Mostrar avance y pendientes del periodo seleccionado.</x:v>
      </x:c>
      <x:c r="F45" s="11" t="str">
        <x:v>Alta</x:v>
      </x:c>
      <x:c r="G45" s="11" t="str">
        <x:v>Ambos</x:v>
      </x:c>
      <x:c r="H45" s="11" t="str">
        <x:v>Por hacer</x:v>
      </x:c>
      <x:c r="I45" s="11" t="str">
        <x:v>Horas planificadas y pendientes</x:v>
      </x:c>
      <x:c r="J45" s="11" t="str">
        <x:v>Los indicadores corresponden al Periodo Académico consultado.</x:v>
      </x:c>
      <x:c r="K45" s="11" t="str"/>
    </x:row>
    <x:row r="46" ht="58" customHeight="1">
      <x:c r="A46" s="10" t="str">
        <x:v>PB-039</x:v>
      </x:c>
      <x:c r="B46" s="6" t="str">
        <x:v>Dashboard</x:v>
      </x:c>
      <x:c r="C46" s="6" t="str">
        <x:v>Aulas pendientes y estado docente</x:v>
      </x:c>
      <x:c r="D46" s="6" t="str">
        <x:v>HU-03</x:v>
      </x:c>
      <x:c r="E46" s="6" t="str">
        <x:v>Destacar clases sin aula y situación de carga docente en el Dashboard.</x:v>
      </x:c>
      <x:c r="F46" s="6" t="str">
        <x:v>Alta</x:v>
      </x:c>
      <x:c r="G46" s="6" t="str">
        <x:v>Ambos</x:v>
      </x:c>
      <x:c r="H46" s="6" t="str">
        <x:v>Por hacer</x:v>
      </x:c>
      <x:c r="I46" s="6" t="str">
        <x:v>Indicadores y horarios</x:v>
      </x:c>
      <x:c r="J46" s="6" t="str">
        <x:v>Los pendientes se ven con sus cantidades correctas.</x:v>
      </x:c>
      <x:c r="K46" s="6" t="str"/>
    </x:row>
    <x:row r="47" ht="58" customHeight="1">
      <x:c r="A47" s="12" t="str">
        <x:v>PB-040</x:v>
      </x:c>
      <x:c r="B47" s="11" t="str">
        <x:v>Exportaciones</x:v>
      </x:c>
      <x:c r="C47" s="11" t="str">
        <x:v>Exportación Excel multinivel</x:v>
      </x:c>
      <x:c r="D47" s="11" t="str">
        <x:v>HU-19</x:v>
      </x:c>
      <x:c r="E47" s="11" t="str">
        <x:v>Exportar por Semestre, Programa, Facultad, Centro o Periodo completo.</x:v>
      </x:c>
      <x:c r="F47" s="11" t="str">
        <x:v>Alta</x:v>
      </x:c>
      <x:c r="G47" s="11" t="str">
        <x:v>Ambos</x:v>
      </x:c>
      <x:c r="H47" s="11" t="str">
        <x:v>Por hacer</x:v>
      </x:c>
      <x:c r="I47" s="11" t="str">
        <x:v>Horarios y estructura académica</x:v>
      </x:c>
      <x:c r="J47" s="11" t="str">
        <x:v>El archivo contiene solo registros del alcance elegido.</x:v>
      </x:c>
      <x:c r="K47" s="11" t="str"/>
    </x:row>
    <x:row r="48" ht="58" customHeight="1">
      <x:c r="A48" s="10" t="str">
        <x:v>PB-041</x:v>
      </x:c>
      <x:c r="B48" s="6" t="str">
        <x:v>Exportaciones</x:v>
      </x:c>
      <x:c r="C48" s="6" t="str">
        <x:v>Validar formato requerido por Academusoft</x:v>
      </x:c>
      <x:c r="D48" s="6" t="str"/>
      <x:c r="E48" s="6" t="str">
        <x:v>Obtener y validar la especificación oficial del archivo de salida.</x:v>
      </x:c>
      <x:c r="F48" s="6" t="str">
        <x:v>Alta</x:v>
      </x:c>
      <x:c r="G48" s="6" t="str">
        <x:v>Ambos</x:v>
      </x:c>
      <x:c r="H48" s="6" t="str">
        <x:v>Bloqueado</x:v>
      </x:c>
      <x:c r="I48" s="6" t="str">
        <x:v>Plantilla/especificación oficial entregada por la institución</x:v>
      </x:c>
      <x:c r="J48" s="6" t="str">
        <x:v>El formato aprobado queda documentado y verificable.</x:v>
      </x:c>
      <x:c r="K48" s="6" t="str">
        <x:v>No hay integración API directa; especificación pendiente.</x:v>
      </x:c>
    </x:row>
    <x:row r="49" ht="58" customHeight="1">
      <x:c r="A49" s="12" t="str">
        <x:v>PB-042</x:v>
      </x:c>
      <x:c r="B49" s="11" t="str">
        <x:v>Exportaciones</x:v>
      </x:c>
      <x:c r="C49" s="11" t="str">
        <x:v>PDF del horario docente</x:v>
      </x:c>
      <x:c r="D49" s="11" t="str">
        <x:v>HU-22</x:v>
      </x:c>
      <x:c r="E49" s="11" t="str">
        <x:v>Generar el PDF del horario propio del Profesor.</x:v>
      </x:c>
      <x:c r="F49" s="11" t="str">
        <x:v>Alta</x:v>
      </x:c>
      <x:c r="G49" s="11" t="str">
        <x:v>Ambos</x:v>
      </x:c>
      <x:c r="H49" s="11" t="str">
        <x:v>Por hacer</x:v>
      </x:c>
      <x:c r="I49" s="11" t="str">
        <x:v>Portal Profesor y aislamiento de datos</x:v>
      </x:c>
      <x:c r="J49" s="11" t="str">
        <x:v>El PDF coincide con el periodo y profesor autenticado.</x:v>
      </x:c>
      <x:c r="K49" s="11" t="str"/>
    </x:row>
    <x:row r="50" ht="58" customHeight="1">
      <x:c r="A50" s="10" t="str">
        <x:v>PB-043</x:v>
      </x:c>
      <x:c r="B50" s="6" t="str">
        <x:v>Portal Profesor</x:v>
      </x:c>
      <x:c r="C50" s="6" t="str">
        <x:v>Acceso al Portal Profesor</x:v>
      </x:c>
      <x:c r="D50" s="6" t="str">
        <x:v>HU-20</x:v>
      </x:c>
      <x:c r="E50" s="6" t="str">
        <x:v>Habilitar el espacio de consulta docente tras iniciar sesión.</x:v>
      </x:c>
      <x:c r="F50" s="6" t="str">
        <x:v>Alta</x:v>
      </x:c>
      <x:c r="G50" s="6" t="str">
        <x:v>Ambos</x:v>
      </x:c>
      <x:c r="H50" s="6" t="str">
        <x:v>Por hacer</x:v>
      </x:c>
      <x:c r="I50" s="6" t="str">
        <x:v>Autenticación y permisos</x:v>
      </x:c>
      <x:c r="J50" s="6" t="str">
        <x:v>El Profesor ingresa a una vista sin acciones administrativas.</x:v>
      </x:c>
      <x:c r="K50" s="6" t="str"/>
    </x:row>
    <x:row r="51" ht="58" customHeight="1">
      <x:c r="A51" s="12" t="str">
        <x:v>PB-044</x:v>
      </x:c>
      <x:c r="B51" s="11" t="str">
        <x:v>Portal Profesor</x:v>
      </x:c>
      <x:c r="C51" s="11" t="str">
        <x:v>Calendario semanal solo lectura</x:v>
      </x:c>
      <x:c r="D51" s="11" t="str">
        <x:v>HU-21</x:v>
      </x:c>
      <x:c r="E51" s="11" t="str">
        <x:v>Mostrar únicamente clases propias del Periodo Académico seleccionado.</x:v>
      </x:c>
      <x:c r="F51" s="11" t="str">
        <x:v>Alta</x:v>
      </x:c>
      <x:c r="G51" s="11" t="str">
        <x:v>Ambos</x:v>
      </x:c>
      <x:c r="H51" s="11" t="str">
        <x:v>Por hacer</x:v>
      </x:c>
      <x:c r="I51" s="11" t="str">
        <x:v>Portal y aislamiento de datos</x:v>
      </x:c>
      <x:c r="J51" s="11" t="str">
        <x:v>Las clases ajenas no son visibles ni editables.</x:v>
      </x:c>
      <x:c r="K51" s="11" t="str"/>
    </x:row>
    <x:row r="52" ht="58" customHeight="1">
      <x:c r="A52" s="10" t="str">
        <x:v>PB-045</x:v>
      </x:c>
      <x:c r="B52" s="6" t="str">
        <x:v>Portal Profesor</x:v>
      </x:c>
      <x:c r="C52" s="6" t="str">
        <x:v>Selección de periodo y detalle</x:v>
      </x:c>
      <x:c r="D52" s="6" t="str">
        <x:v>HU-21</x:v>
      </x:c>
      <x:c r="E52" s="6" t="str">
        <x:v>Mostrar asignatura, grupo, Sede, aula y tramo de cada clase.</x:v>
      </x:c>
      <x:c r="F52" s="6" t="str">
        <x:v>Alta</x:v>
      </x:c>
      <x:c r="G52" s="6" t="str">
        <x:v>Ambos</x:v>
      </x:c>
      <x:c r="H52" s="6" t="str">
        <x:v>Por hacer</x:v>
      </x:c>
      <x:c r="I52" s="6" t="str">
        <x:v>Calendario semanal docente</x:v>
      </x:c>
      <x:c r="J52" s="6" t="str">
        <x:v>El detalle corresponde al periodo elegido y señala Aula pendiente.</x:v>
      </x:c>
      <x:c r="K52" s="6" t="str"/>
    </x:row>
    <x:row r="53" ht="58" customHeight="1">
      <x:c r="A53" s="12" t="str">
        <x:v>PB-046</x:v>
      </x:c>
      <x:c r="B53" s="11" t="str">
        <x:v>Pruebas y calidad</x:v>
      </x:c>
      <x:c r="C53" s="11" t="str">
        <x:v>Pruebas de cruces de profesor, grupo y aula</x:v>
      </x:c>
      <x:c r="D53" s="11" t="str">
        <x:v>HU-16, HU-17</x:v>
      </x:c>
      <x:c r="E53" s="11" t="str">
        <x:v>Ejecutar casos válidos e inválidos para los tres recursos.</x:v>
      </x:c>
      <x:c r="F53" s="11" t="str">
        <x:v>Alta</x:v>
      </x:c>
      <x:c r="G53" s="11" t="str">
        <x:v>Ambos</x:v>
      </x:c>
      <x:c r="H53" s="11" t="str">
        <x:v>Por hacer</x:v>
      </x:c>
      <x:c r="I53" s="11" t="str">
        <x:v>Validaciones de conflictos</x:v>
      </x:c>
      <x:c r="J53" s="11" t="str">
        <x:v>Los cruces se rechazan y los casos libres se guardan.</x:v>
      </x:c>
      <x:c r="K53" s="11" t="str"/>
    </x:row>
    <x:row r="54" ht="58" customHeight="1">
      <x:c r="A54" s="10" t="str">
        <x:v>PB-047</x:v>
      </x:c>
      <x:c r="B54" s="6" t="str">
        <x:v>Pruebas y calidad</x:v>
      </x:c>
      <x:c r="C54" s="6" t="str">
        <x:v>Pruebas de disponibilidad y carga</x:v>
      </x:c>
      <x:c r="D54" s="6" t="str">
        <x:v>HU-18</x:v>
      </x:c>
      <x:c r="E54" s="6" t="str">
        <x:v>Probar cobertura parcial, ausencia de disponibilidad y exceso de carga.</x:v>
      </x:c>
      <x:c r="F54" s="6" t="str">
        <x:v>Alta</x:v>
      </x:c>
      <x:c r="G54" s="6" t="str">
        <x:v>Ambos</x:v>
      </x:c>
      <x:c r="H54" s="6" t="str">
        <x:v>Por hacer</x:v>
      </x:c>
      <x:c r="I54" s="6" t="str">
        <x:v>Validaciones docentes</x:v>
      </x:c>
      <x:c r="J54" s="6" t="str">
        <x:v>No se guardan operaciones fuera de límites.</x:v>
      </x:c>
      <x:c r="K54" s="6" t="str"/>
    </x:row>
    <x:row r="55" ht="58" customHeight="1">
      <x:c r="A55" s="12" t="str">
        <x:v>PB-048</x:v>
      </x:c>
      <x:c r="B55" s="11" t="str">
        <x:v>Pruebas y calidad</x:v>
      </x:c>
      <x:c r="C55" s="11" t="str">
        <x:v>Pruebas de concurrencia y reversión</x:v>
      </x:c>
      <x:c r="D55" s="11" t="str"/>
      <x:c r="E55" s="11" t="str">
        <x:v>Simular solicitudes simultáneas y fallos de persistencia.</x:v>
      </x:c>
      <x:c r="F55" s="11" t="str">
        <x:v>Alta</x:v>
      </x:c>
      <x:c r="G55" s="11" t="str">
        <x:v>Ambos</x:v>
      </x:c>
      <x:c r="H55" s="11" t="str">
        <x:v>Por hacer</x:v>
      </x:c>
      <x:c r="I55" s="11" t="str">
        <x:v>Concurrencia y reversión ante fallos</x:v>
      </x:c>
      <x:c r="J55" s="11" t="str">
        <x:v>No hay dobles reservas ni cambios parciales.</x:v>
      </x:c>
      <x:c r="K55" s="11" t="str"/>
    </x:row>
    <x:row r="56" ht="58" customHeight="1">
      <x:c r="A56" s="10" t="str">
        <x:v>PB-049</x:v>
      </x:c>
      <x:c r="B56" s="6" t="str">
        <x:v>Pruebas y calidad</x:v>
      </x:c>
      <x:c r="C56" s="6" t="str">
        <x:v>Pruebas de permisos y Portal Profesor</x:v>
      </x:c>
      <x:c r="D56" s="6" t="str">
        <x:v>HU-02, HU-21</x:v>
      </x:c>
      <x:c r="E56" s="6" t="str">
        <x:v>Verificar acceso por rol, consultas propias y rutas directas.</x:v>
      </x:c>
      <x:c r="F56" s="6" t="str">
        <x:v>Alta</x:v>
      </x:c>
      <x:c r="G56" s="6" t="str">
        <x:v>Ambos</x:v>
      </x:c>
      <x:c r="H56" s="6" t="str">
        <x:v>Por hacer</x:v>
      </x:c>
      <x:c r="I56" s="6" t="str">
        <x:v>Portal y control de permisos</x:v>
      </x:c>
      <x:c r="J56" s="6" t="str">
        <x:v>No se exponen horarios ajenos ni funciones administrativas.</x:v>
      </x:c>
      <x:c r="K56" s="6" t="str"/>
    </x:row>
    <x:row r="57" ht="58" customHeight="1">
      <x:c r="A57" s="12" t="str">
        <x:v>PB-050</x:v>
      </x:c>
      <x:c r="B57" s="11" t="str">
        <x:v>Pruebas y calidad</x:v>
      </x:c>
      <x:c r="C57" s="11" t="str">
        <x:v>Pruebas JavaScript del calendario</x:v>
      </x:c>
      <x:c r="D57" s="11" t="str">
        <x:v>HU-11, HU-13, HU-14</x:v>
      </x:c>
      <x:c r="E57" s="11" t="str">
        <x:v>Verificar arrastre, movimiento, cambio de duración y rechazo visual.</x:v>
      </x:c>
      <x:c r="F57" s="11" t="str">
        <x:v>Alta</x:v>
      </x:c>
      <x:c r="G57" s="11" t="str">
        <x:v>Ambos</x:v>
      </x:c>
      <x:c r="H57" s="11" t="str">
        <x:v>Por hacer</x:v>
      </x:c>
      <x:c r="I57" s="11" t="str">
        <x:v>FullCalendar y validaciones</x:v>
      </x:c>
      <x:c r="J57" s="11" t="str">
        <x:v>La interfaz conserva su estado cuando el servidor rechaza un cambio.</x:v>
      </x:c>
      <x:c r="K57" s="11" t="str"/>
    </x:row>
    <x:row r="58" ht="58" customHeight="1">
      <x:c r="A58" s="10" t="str">
        <x:v>PB-051</x:v>
      </x:c>
      <x:c r="B58" s="6" t="str">
        <x:v>Interfaz y experiencia de usuario</x:v>
      </x:c>
      <x:c r="C58" s="6" t="str">
        <x:v>Mejorar ingreso y Dashboard</x:v>
      </x:c>
      <x:c r="D58" s="6" t="str"/>
      <x:c r="E58" s="6" t="str">
        <x:v>Ordenar formularios, indicadores y navegación principal.</x:v>
      </x:c>
      <x:c r="F58" s="6" t="str">
        <x:v>Media</x:v>
      </x:c>
      <x:c r="G58" s="6" t="str">
        <x:v>Ambos</x:v>
      </x:c>
      <x:c r="H58" s="6" t="str">
        <x:v>Product Backlog</x:v>
      </x:c>
      <x:c r="I58" s="6" t="str">
        <x:v>Acceso y Dashboard</x:v>
      </x:c>
      <x:c r="J58" s="6" t="str">
        <x:v>Las vistas permiten identificar acciones y resultados con claridad.</x:v>
      </x:c>
      <x:c r="K58" s="6" t="str"/>
    </x:row>
    <x:row r="59" ht="58" customHeight="1">
      <x:c r="A59" s="12" t="str">
        <x:v>PB-052</x:v>
      </x:c>
      <x:c r="B59" s="11" t="str">
        <x:v>Documentación</x:v>
      </x:c>
      <x:c r="C59" s="11" t="str">
        <x:v>Historias de Usuario con criterios</x:v>
      </x:c>
      <x:c r="D59" s="11" t="str"/>
      <x:c r="E59" s="11" t="str">
        <x:v>Consolidar 22 historias y criterios de aceptación de UniPlan.</x:v>
      </x:c>
      <x:c r="F59" s="11" t="str">
        <x:v>Media</x:v>
      </x:c>
      <x:c r="G59" s="11" t="str">
        <x:v>Ambos</x:v>
      </x:c>
      <x:c r="H59" s="11" t="str">
        <x:v>Hecho</x:v>
      </x:c>
      <x:c r="I59" s="11" t="str">
        <x:v>Alcance funcional acordado</x:v>
      </x:c>
      <x:c r="J59" s="11" t="str">
        <x:v>Documento 10 en Word y PDF generado.</x:v>
      </x:c>
      <x:c r="K59" s="11" t="str">
        <x:v>Artefacto verificable en esta conversación; revisión académica pendiente.</x:v>
      </x:c>
    </x:row>
    <x:row r="60" ht="58" customHeight="1">
      <x:c r="A60" s="10" t="str">
        <x:v>PB-053</x:v>
      </x:c>
      <x:c r="B60" s="6" t="str">
        <x:v>Documentación</x:v>
      </x:c>
      <x:c r="C60" s="6" t="str">
        <x:v>Product Backlog formal</x:v>
      </x:c>
      <x:c r="D60" s="6" t="str"/>
      <x:c r="E60" s="6" t="str">
        <x:v>Consolidar el backlog en Excel con resumen y evidencia PDF.</x:v>
      </x:c>
      <x:c r="F60" s="6" t="str">
        <x:v>Media</x:v>
      </x:c>
      <x:c r="G60" s="6" t="str">
        <x:v>Ambos</x:v>
      </x:c>
      <x:c r="H60" s="6" t="str">
        <x:v>Hecho</x:v>
      </x:c>
      <x:c r="I60" s="6" t="str">
        <x:v>Historias de Usuario y alcance</x:v>
      </x:c>
      <x:c r="J60" s="6" t="str">
        <x:v>Archivo Excel y PDF de este documento generados.</x:v>
      </x:c>
      <x:c r="K60" s="6" t="str">
        <x:v>Estado del tablero Trello pendiente de conciliación.</x:v>
      </x:c>
    </x:row>
    <x:row r="61" ht="58" customHeight="1">
      <x:c r="A61" s="12" t="str">
        <x:v>PB-054</x:v>
      </x:c>
      <x:c r="B61" s="11" t="str">
        <x:v>Documentación</x:v>
      </x:c>
      <x:c r="C61" s="11" t="str">
        <x:v>Evidencia del tablero Kanban</x:v>
      </x:c>
      <x:c r="D61" s="11" t="str"/>
      <x:c r="E61" s="11" t="str">
        <x:v>Incorporar captura o exportación de Trello y conciliar los estados.</x:v>
      </x:c>
      <x:c r="F61" s="11" t="str">
        <x:v>Media</x:v>
      </x:c>
      <x:c r="G61" s="11" t="str">
        <x:v>Ambos</x:v>
      </x:c>
      <x:c r="H61" s="11" t="str">
        <x:v>Por hacer</x:v>
      </x:c>
      <x:c r="I61" s="11" t="str">
        <x:v>Acceso a Trello o exportación</x:v>
      </x:c>
      <x:c r="J61" s="11" t="str">
        <x:v>Los estados y responsables del archivo coinciden con el tablero.</x:v>
      </x:c>
      <x:c r="K61" s="11" t="str">
        <x:v>Fuente operativa no adjunta.</x:v>
      </x:c>
    </x:row>
    <x:row r="62" ht="58" customHeight="1">
      <x:c r="A62" s="10" t="str">
        <x:v>PB-055</x:v>
      </x:c>
      <x:c r="B62" s="6" t="str">
        <x:v>Documentación</x:v>
      </x:c>
      <x:c r="C62" s="6" t="str">
        <x:v>Arquitectura de Software</x:v>
      </x:c>
      <x:c r="D62" s="6" t="str"/>
      <x:c r="E62" s="6" t="str">
        <x:v>Describir componentes, responsabilidades y decisiones técnicas.</x:v>
      </x:c>
      <x:c r="F62" s="6" t="str">
        <x:v>Media</x:v>
      </x:c>
      <x:c r="G62" s="6" t="str">
        <x:v>Ambos</x:v>
      </x:c>
      <x:c r="H62" s="6" t="str">
        <x:v>Product Backlog</x:v>
      </x:c>
      <x:c r="I62" s="6" t="str">
        <x:v>Modelo de datos y diseño de aplicación</x:v>
      </x:c>
      <x:c r="J62" s="6" t="str">
        <x:v>Documento de arquitectura revisable.</x:v>
      </x:c>
      <x:c r="K62" s="6" t="str"/>
    </x:row>
    <x:row r="63" ht="58" customHeight="1">
      <x:c r="A63" s="12" t="str">
        <x:v>PB-056</x:v>
      </x:c>
      <x:c r="B63" s="11" t="str">
        <x:v>Documentación</x:v>
      </x:c>
      <x:c r="C63" s="11" t="str">
        <x:v>Modelo de Base de Datos y Diccionario</x:v>
      </x:c>
      <x:c r="D63" s="11" t="str"/>
      <x:c r="E63" s="11" t="str">
        <x:v>Documentar entidades, relaciones y significado de campos.</x:v>
      </x:c>
      <x:c r="F63" s="11" t="str">
        <x:v>Media</x:v>
      </x:c>
      <x:c r="G63" s="11" t="str">
        <x:v>Ambos</x:v>
      </x:c>
      <x:c r="H63" s="11" t="str">
        <x:v>Product Backlog</x:v>
      </x:c>
      <x:c r="I63" s="11" t="str">
        <x:v>Modelo de datos estable</x:v>
      </x:c>
      <x:c r="J63" s="11" t="str">
        <x:v>Esquema y diccionario coherentes con la implementación.</x:v>
      </x:c>
      <x:c r="K63" s="11" t="str"/>
    </x:row>
    <x:row r="64" ht="58" customHeight="1">
      <x:c r="A64" s="10" t="str">
        <x:v>PB-057</x:v>
      </x:c>
      <x:c r="B64" s="6" t="str">
        <x:v>Documentación</x:v>
      </x:c>
      <x:c r="C64" s="6" t="str">
        <x:v>Diagramas UML</x:v>
      </x:c>
      <x:c r="D64" s="6" t="str"/>
      <x:c r="E64" s="6" t="str">
        <x:v>Elaborar casos de uso, clases, componentes y despliegue.</x:v>
      </x:c>
      <x:c r="F64" s="6" t="str">
        <x:v>Media</x:v>
      </x:c>
      <x:c r="G64" s="6" t="str">
        <x:v>Ambos</x:v>
      </x:c>
      <x:c r="H64" s="6" t="str">
        <x:v>Product Backlog</x:v>
      </x:c>
      <x:c r="I64" s="6" t="str">
        <x:v>Arquitectura y alcance</x:v>
      </x:c>
      <x:c r="J64" s="6" t="str">
        <x:v>Cuatro diagramas trazables a roles y componentes.</x:v>
      </x:c>
      <x:c r="K64" s="6" t="str"/>
    </x:row>
    <x:row r="65" ht="58" customHeight="1">
      <x:c r="A65" s="12" t="str">
        <x:v>PB-058</x:v>
      </x:c>
      <x:c r="B65" s="11" t="str">
        <x:v>Documentación</x:v>
      </x:c>
      <x:c r="C65" s="11" t="str">
        <x:v>Evidencias de pruebas</x:v>
      </x:c>
      <x:c r="D65" s="11" t="str"/>
      <x:c r="E65" s="11" t="str">
        <x:v>Reunir casos, resultados y fallos corregidos.</x:v>
      </x:c>
      <x:c r="F65" s="11" t="str">
        <x:v>Media</x:v>
      </x:c>
      <x:c r="G65" s="11" t="str">
        <x:v>Ambos</x:v>
      </x:c>
      <x:c r="H65" s="11" t="str">
        <x:v>Product Backlog</x:v>
      </x:c>
      <x:c r="I65" s="11" t="str">
        <x:v>Ejecución de pruebas</x:v>
      </x:c>
      <x:c r="J65" s="11" t="str">
        <x:v>Resultados reproducibles y vinculados al backlog.</x:v>
      </x:c>
      <x:c r="K65" s="11" t="str"/>
    </x:row>
    <x:row r="66" ht="58" customHeight="1">
      <x:c r="A66" s="10" t="str">
        <x:v>PB-059</x:v>
      </x:c>
      <x:c r="B66" s="6" t="str">
        <x:v>Documentación</x:v>
      </x:c>
      <x:c r="C66" s="6" t="str">
        <x:v>Presentación y video demostrativo</x:v>
      </x:c>
      <x:c r="D66" s="6" t="str"/>
      <x:c r="E66" s="6" t="str">
        <x:v>Preparar exposición y recorrido funcional de UniPlan.</x:v>
      </x:c>
      <x:c r="F66" s="6" t="str">
        <x:v>Media</x:v>
      </x:c>
      <x:c r="G66" s="6" t="str">
        <x:v>Ambos</x:v>
      </x:c>
      <x:c r="H66" s="6" t="str">
        <x:v>Product Backlog</x:v>
      </x:c>
      <x:c r="I66" s="6" t="str">
        <x:v>Incremento demostrable</x:v>
      </x:c>
      <x:c r="J66" s="6" t="str">
        <x:v>Presentación y video muestran el flujo acordado.</x:v>
      </x:c>
      <x:c r="K66" s="6" t="str"/>
    </x:row>
    <x:row r="67" ht="58" customHeight="1">
      <x:c r="A67" s="12" t="str">
        <x:v>PB-060</x:v>
      </x:c>
      <x:c r="B67" s="11" t="str">
        <x:v>Despliegue</x:v>
      </x:c>
      <x:c r="C67" s="11" t="str">
        <x:v>Definir infraestructura productiva</x:v>
      </x:c>
      <x:c r="D67" s="11" t="str"/>
      <x:c r="E67" s="11" t="str">
        <x:v>Acordar servidor, persistencia y requisitos de publicación.</x:v>
      </x:c>
      <x:c r="F67" s="11" t="str">
        <x:v>Media</x:v>
      </x:c>
      <x:c r="G67" s="11" t="str">
        <x:v>Ambos</x:v>
      </x:c>
      <x:c r="H67" s="11" t="str">
        <x:v>Product Backlog</x:v>
      </x:c>
      <x:c r="I67" s="11" t="str">
        <x:v>Restricciones institucionales y seguridad</x:v>
      </x:c>
      <x:c r="J67" s="11" t="str">
        <x:v>Infraestructura seleccionada y documentada.</x:v>
      </x:c>
      <x:c r="K67" s="11" t="str">
        <x:v>No se asume proveedor.</x:v>
      </x:c>
    </x:row>
    <x:row r="68" ht="58" customHeight="1">
      <x:c r="A68" s="10" t="str">
        <x:v>PB-061</x:v>
      </x:c>
      <x:c r="B68" s="6" t="str">
        <x:v>Despliegue</x:v>
      </x:c>
      <x:c r="C68" s="6" t="str">
        <x:v>Configuración de servidor y estáticos</x:v>
      </x:c>
      <x:c r="D68" s="6" t="str"/>
      <x:c r="E68" s="6" t="str">
        <x:v>Preparar servidor web y estrategia de archivos estáticos.</x:v>
      </x:c>
      <x:c r="F68" s="6" t="str">
        <x:v>Media</x:v>
      </x:c>
      <x:c r="G68" s="6" t="str">
        <x:v>Ambos</x:v>
      </x:c>
      <x:c r="H68" s="6" t="str">
        <x:v>Product Backlog</x:v>
      </x:c>
      <x:c r="I68" s="6" t="str">
        <x:v>Infraestructura definida</x:v>
      </x:c>
      <x:c r="J68" s="6" t="str">
        <x:v>Aplicación y recursos estáticos servidos en el entorno elegido.</x:v>
      </x:c>
      <x:c r="K68" s="6" t="str"/>
    </x:row>
    <x:row r="69" ht="58" customHeight="1">
      <x:c r="A69" s="12" t="str">
        <x:v>PB-062</x:v>
      </x:c>
      <x:c r="B69" s="11" t="str">
        <x:v>Despliegue</x:v>
      </x:c>
      <x:c r="C69" s="11" t="str">
        <x:v>Publicación HTTPS y despliegue</x:v>
      </x:c>
      <x:c r="D69" s="11" t="str"/>
      <x:c r="E69" s="11" t="str">
        <x:v>Configurar acceso seguro y desplegar UniPlan.</x:v>
      </x:c>
      <x:c r="F69" s="11" t="str">
        <x:v>Media</x:v>
      </x:c>
      <x:c r="G69" s="11" t="str">
        <x:v>Ambos</x:v>
      </x:c>
      <x:c r="H69" s="11" t="str">
        <x:v>Product Backlog</x:v>
      </x:c>
      <x:c r="I69" s="11" t="str">
        <x:v>Servidor configurado y pruebas críticas</x:v>
      </x:c>
      <x:c r="J69" s="11" t="str">
        <x:v>Aplicación accesible por HTTPS en la infraestructura acordada.</x:v>
      </x:c>
      <x:c r="K69" s="11" t="str"/>
    </x:row>
    <x:row r="70" ht="58" customHeight="1">
      <x:c r="A70" s="10" t="str">
        <x:v>PB-063</x:v>
      </x:c>
      <x:c r="B70" s="6" t="str">
        <x:v>Interfaz y experiencia de usuario</x:v>
      </x:c>
      <x:c r="C70" s="6" t="str">
        <x:v>Mejorar identidad visual y logo UniPlan</x:v>
      </x:c>
      <x:c r="D70" s="6" t="str"/>
      <x:c r="E70" s="6" t="str">
        <x:v>Crear una identidad visual coherente para las vistas existentes.</x:v>
      </x:c>
      <x:c r="F70" s="6" t="str">
        <x:v>Baja</x:v>
      </x:c>
      <x:c r="G70" s="6" t="str">
        <x:v>Ambos</x:v>
      </x:c>
      <x:c r="H70" s="6" t="str">
        <x:v>Product Backlog</x:v>
      </x:c>
      <x:c r="I70" s="6" t="str">
        <x:v>Vistas funcionales</x:v>
      </x:c>
      <x:c r="J70" s="6" t="str">
        <x:v>Logo y estilos aplicados sin afectar la legibilidad.</x:v>
      </x:c>
      <x:c r="K70" s="6" t="str"/>
    </x:row>
    <x:row r="71" ht="58" customHeight="1">
      <x:c r="A71" s="12" t="str">
        <x:v>PB-064</x:v>
      </x:c>
      <x:c r="B71" s="11" t="str">
        <x:v>Interfaz y experiencia de usuario</x:v>
      </x:c>
      <x:c r="C71" s="11" t="str">
        <x:v>Cabeceras, tooltips y modales</x:v>
      </x:c>
      <x:c r="D71" s="11" t="str"/>
      <x:c r="E71" s="11" t="str">
        <x:v>Aclarar acciones de planificación y confirmaciones.</x:v>
      </x:c>
      <x:c r="F71" s="11" t="str">
        <x:v>Baja</x:v>
      </x:c>
      <x:c r="G71" s="11" t="str">
        <x:v>Ambos</x:v>
      </x:c>
      <x:c r="H71" s="11" t="str">
        <x:v>Product Backlog</x:v>
      </x:c>
      <x:c r="I71" s="11" t="str">
        <x:v>Planificación funcional</x:v>
      </x:c>
      <x:c r="J71" s="11" t="str">
        <x:v>Los mensajes ayudan a interpretar cambios y rechazos.</x:v>
      </x:c>
      <x:c r="K71" s="11" t="str"/>
    </x:row>
  </x:sheetData>
  <x:conditionalFormatting sqref="F8:F171">
    <x:cfRule type="containsText" dxfId="0" priority="1" operator="containsText" text="Alta"/>
    <x:cfRule type="containsText" dxfId="1" priority="2" operator="containsText" text="Media"/>
    <x:cfRule type="containsText" dxfId="2" priority="3" operator="containsText" text="Baja"/>
  </x:conditionalFormatting>
  <x:conditionalFormatting sqref="H8:H171">
    <x:cfRule type="containsText" dxfId="3" priority="4" operator="containsText" text="Product Backlog"/>
    <x:cfRule type="containsText" dxfId="4" priority="5" operator="containsText" text="Por hacer"/>
    <x:cfRule type="containsText" dxfId="5" priority="6" operator="containsText" text="En desarrollo"/>
    <x:cfRule type="containsText" dxfId="6" priority="7" operator="containsText" text="En pruebas"/>
    <x:cfRule type="containsText" dxfId="7" priority="8" operator="containsText" text="Bloqueado"/>
    <x:cfRule type="containsText" dxfId="8" priority="9" operator="containsText" text="Hecho"/>
  </x:conditionalFormatting>
  <x:dataValidations count="3">
    <x:dataValidation type="list" sqref="F8:F171">
      <x:formula1>"Alta,Media,Baja"</x:formula1>
    </x:dataValidation>
    <x:dataValidation type="list" sqref="G8:G171">
      <x:formula1>"Maximiliano Guzmán,Iván Tobar,Ambos"</x:formula1>
    </x:dataValidation>
    <x:dataValidation type="list" sqref="H8:H171">
      <x:formula1>"Product Backlog,Por hacer,En desarrollo,En pruebas,Bloqueado,Hecho"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78534a4f14c4cbc"/>
  </x:tableParts>
</x:worksheet>
</file>

<file path=xl/worksheets/sheet2.xml><?xml version="1.0" encoding="utf-8"?>
<x:worksheet xmlns:x="http://schemas.openxmlformats.org/spreadsheetml/2006/main">
  <x:sheetPr>
    <x:tabColor rgb="FF667A94"/>
  </x:sheetPr>
  <x:sheetViews>
    <x:sheetView showGridLines="0" workbookViewId="0"/>
  </x:sheetViews>
  <x:sheetFormatPr defaultRowHeight="15"/>
  <x:cols>
    <x:col min="1" max="1" width="4" hidden="0" customWidth="1"/>
    <x:col min="2" max="2" width="25" hidden="0" customWidth="1"/>
    <x:col min="3" max="3" width="18" hidden="0" customWidth="1"/>
    <x:col min="4" max="4" width="4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2" hidden="0" customWidth="1"/>
    <x:col min="11" max="11" width="12" hidden="0" customWidth="1"/>
    <x:col min="12" max="12" width="10" hidden="0" customWidth="1"/>
  </x:cols>
  <x:sheetData>
    <x:row r="2" ht="23" customHeight="1">
      <x:c r="B2" s="1" t="str">
        <x:v>Product Backlog de UniPlan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3" customHeight="1">
      <x:c r="B3" t="str">
        <x:v>Corte: 14-10-2026</x:v>
      </x:c>
    </x:row>
    <x:row r="4" ht="23" customHeight="1">
      <x:c r="B4" t="str">
        <x:v>Proyecto</x:v>
      </x:c>
      <x:c r="C4" t="str">
        <x:v>UniPlan</x:v>
      </x:c>
    </x:row>
    <x:row r="5" ht="23" customHeight="1">
      <x:c r="B5" t="str">
        <x:v>Metodología</x:v>
      </x:c>
      <x:c r="C5" t="str">
        <x:v>Kanban + Backlog</x:v>
      </x:c>
    </x:row>
    <x:row r="6" ht="23" customHeight="1">
      <x:c r="B6" t="str">
        <x:v>Integrantes</x:v>
      </x:c>
      <x:c r="C6" t="str">
        <x:v>Maximiliano Guzmán e Iván Tobar</x:v>
      </x:c>
    </x:row>
    <x:row r="7" ht="23" customHeight="1"/>
    <x:row r="8" ht="33" customHeight="1">
      <x:c r="B8" s="16" t="str">
        <x:v>El Product Backlog de UniPlan corresponde a una lista ordenada y dinámica de funcionalidades, mejoras técnicas, pruebas, documentación y actividades necesarias para evolucionar el producto. Su gestión operativa se realiza mediante Trello bajo un enfoque Kanban, mientras este documento consolida una evidencia formal del estado del backlog.</x:v>
      </x:c>
      <x:c r="C8" s="16"/>
      <x:c r="D8" s="16"/>
      <x:c r="E8" s="16"/>
      <x:c r="F8" s="16"/>
      <x:c r="G8" s="16"/>
      <x:c r="H8" s="16"/>
    </x:row>
    <x:row r="9" ht="33" customHeight="1">
      <x:c r="B9" s="16"/>
      <x:c r="C9" s="16"/>
      <x:c r="D9" s="16"/>
      <x:c r="E9" s="16"/>
      <x:c r="F9" s="16"/>
      <x:c r="G9" s="16"/>
      <x:c r="H9" s="16"/>
    </x:row>
    <x:row r="10" ht="33" customHeight="1">
      <x:c r="B10" s="16"/>
      <x:c r="C10" s="16"/>
      <x:c r="D10" s="16"/>
      <x:c r="E10" s="16"/>
      <x:c r="F10" s="16"/>
      <x:c r="G10" s="16"/>
      <x:c r="H10" s="16"/>
    </x:row>
    <x:row r="11" ht="23" customHeight="1"/>
    <x:row r="12" ht="23" customHeight="1">
      <x:c r="B12" s="20" t="str">
        <x:v>Indicador</x:v>
      </x:c>
      <x:c r="C12" s="20" t="str">
        <x:v>Ítems</x:v>
      </x:c>
    </x:row>
    <x:row r="13" ht="23" customHeight="1">
      <x:c r="B13" s="5" t="str">
        <x:v>Total de ítems</x:v>
      </x:c>
      <x:c r="C13" s="22" t="n">
        <x:f>COUNTA('Product Backlog'!$A$8:$A$171)</x:f>
        <x:v>64</x:v>
      </x:c>
    </x:row>
    <x:row r="14" ht="23" customHeight="1">
      <x:c r="B14" s="21" t="str">
        <x:v>Alta prioridad</x:v>
      </x:c>
      <x:c r="C14" s="23" t="n">
        <x:f>COUNTIF('Product Backlog'!$F$8:$F$171,"Alta")</x:f>
        <x:v>50</x:v>
      </x:c>
    </x:row>
    <x:row r="15" ht="23" customHeight="1">
      <x:c r="B15" s="5" t="str">
        <x:v>Media prioridad</x:v>
      </x:c>
      <x:c r="C15" s="22" t="n">
        <x:f>COUNTIF('Product Backlog'!$F$8:$F$171,"Media")</x:f>
        <x:v>12</x:v>
      </x:c>
    </x:row>
    <x:row r="16" ht="23" customHeight="1">
      <x:c r="B16" s="21" t="str">
        <x:v>Baja prioridad</x:v>
      </x:c>
      <x:c r="C16" s="23" t="n">
        <x:f>COUNTIF('Product Backlog'!$F$8:$F$171,"Baja")</x:f>
        <x:v>2</x:v>
      </x:c>
    </x:row>
    <x:row r="17" ht="23" customHeight="1">
      <x:c r="B17" s="5" t="str">
        <x:v>Product Backlog</x:v>
      </x:c>
      <x:c r="C17" s="22" t="n">
        <x:f>COUNTIF('Product Backlog'!$H$8:$H$171,"Product Backlog")</x:f>
        <x:v>11</x:v>
      </x:c>
    </x:row>
    <x:row r="18" ht="23" customHeight="1">
      <x:c r="B18" s="21" t="str">
        <x:v>Por hacer</x:v>
      </x:c>
      <x:c r="C18" s="23" t="n">
        <x:f>COUNTIF('Product Backlog'!$H$8:$H$171,"Por hacer")</x:f>
        <x:v>50</x:v>
      </x:c>
    </x:row>
    <x:row r="19" ht="23" customHeight="1">
      <x:c r="B19" s="5" t="str">
        <x:v>En desarrollo</x:v>
      </x:c>
      <x:c r="C19" s="22" t="n">
        <x:f>COUNTIF('Product Backlog'!$H$8:$H$171,"En desarrollo")</x:f>
        <x:v>0</x:v>
      </x:c>
    </x:row>
    <x:row r="20" ht="23" customHeight="1">
      <x:c r="B20" s="21" t="str">
        <x:v>En pruebas</x:v>
      </x:c>
      <x:c r="C20" s="23" t="n">
        <x:f>COUNTIF('Product Backlog'!$H$8:$H$171,"En pruebas")</x:f>
        <x:v>0</x:v>
      </x:c>
    </x:row>
    <x:row r="21" ht="23" customHeight="1">
      <x:c r="B21" s="5" t="str">
        <x:v>Bloqueado</x:v>
      </x:c>
      <x:c r="C21" s="22" t="n">
        <x:f>COUNTIF('Product Backlog'!$H$8:$H$171,"Bloqueado")</x:f>
        <x:v>1</x:v>
      </x:c>
    </x:row>
    <x:row r="22" ht="23" customHeight="1">
      <x:c r="B22" s="21" t="str">
        <x:v>Hecho</x:v>
      </x:c>
      <x:c r="C22" s="23" t="n">
        <x:f>COUNTIF('Product Backlog'!$H$8:$H$171,"Hecho")</x:f>
        <x:v>2</x:v>
      </x:c>
    </x:row>
    <x:row r="23" ht="23" customHeight="1"/>
    <x:row r="24" ht="23" customHeight="1"/>
    <x:row r="25" ht="32" customHeight="1">
      <x:c r="B25" s="25" t="str">
        <x:v>Criterio de estado: no se adjuntó exportación de Trello. Los avances técnicos figuran como pendientes de verificación y solo los documentos generados aquí constan como Hecho. “Ambos” indica que la asignación individual no está confirmada. El formato de Academusoft sigue bloqueado hasta recibir la especificación institucional.</x:v>
      </x:c>
      <x:c r="C25" s="25"/>
      <x:c r="D25" s="25"/>
      <x:c r="E25" s="25"/>
      <x:c r="F25" s="25"/>
      <x:c r="G25" s="25"/>
      <x:c r="H25" s="25"/>
    </x:row>
    <x:row r="26" ht="32" customHeight="1">
      <x:c r="B26" s="25"/>
      <x:c r="C26" s="25"/>
      <x:c r="D26" s="25"/>
      <x:c r="E26" s="25"/>
      <x:c r="F26" s="25"/>
      <x:c r="G26" s="25"/>
      <x:c r="H26" s="25"/>
    </x:row>
    <x:row r="27" ht="32" customHeight="1">
      <x:c r="B27" s="25"/>
      <x:c r="C27" s="25"/>
      <x:c r="D27" s="25"/>
      <x:c r="E27" s="25"/>
      <x:c r="F27" s="25"/>
      <x:c r="G27" s="25"/>
      <x:c r="H27" s="25"/>
    </x:row>
  </x:sheetData>
  <x:mergeCells>
    <x:mergeCell ref="B8:H10"/>
    <x:mergeCell ref="B25:H27"/>
  </x:mergeCells>
  <x:pageMargins left="0.7" right="0.7" top="0.75" bottom="0.75" header="0.3" footer="0.3"/>
  <x:drawing xmlns:r="http://schemas.openxmlformats.org/officeDocument/2006/relationships" r:id="Ra871520ff4764669"/>
</x:worksheet>
</file>